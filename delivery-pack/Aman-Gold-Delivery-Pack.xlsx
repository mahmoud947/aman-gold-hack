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imeline &amp; Effort" state="visible" r:id="rId5"/>
    <sheet sheetId="3" name="Sprint Backlog" state="visible" r:id="rId6"/>
    <sheet sheetId="4" name="QA Backlog" state="visible" r:id="rId7"/>
    <sheet sheetId="5" name="Test Cases" state="visible" r:id="rId8"/>
    <sheet sheetId="6" name="Defects" state="visible" r:id="rId9"/>
    <sheet sheetId="7" name="Change Requests" state="visible" r:id="rId10"/>
  </sheets>
  <calcPr calcId="171027"/>
</workbook>
</file>

<file path=xl/sharedStrings.xml><?xml version="1.0" encoding="utf-8"?>
<sst xmlns="http://schemas.openxmlformats.org/spreadsheetml/2006/main" count="1737" uniqueCount="880">
  <si>
    <t>AMAN GOLD - DELIVERY PACK (retrospective)</t>
  </si>
  <si>
    <t>Generated from the actual session evidence. Read the honesty notes before using the numbers.</t>
  </si>
  <si>
    <t>NOTE</t>
  </si>
  <si>
    <t/>
  </si>
  <si>
    <t>Sprint tickets and QA stories were written AFTER the work as a retrospective; no live Jira project existed during the build.</t>
  </si>
  <si>
    <t>No Figma file was created. The design flow is a Claude Design canvas (screens + prototype links).</t>
  </si>
  <si>
    <t>Test results come from scripted browser checks run by Claude, not from a human QA team. Cases not run are marked 'Not executed'.</t>
  </si>
  <si>
    <t>Times come from file-system timestamps. 'Elapsed' includes time spent waiting for the PM; active build time is shorter. Human-equivalent effort is an ESTIMATE.</t>
  </si>
  <si>
    <t>Metric</t>
  </si>
  <si>
    <t>Value</t>
  </si>
  <si>
    <t>Detail</t>
  </si>
  <si>
    <t>Epics / stories / tasks (delivered)</t>
  </si>
  <si>
    <t>4 / 21 / 23</t>
  </si>
  <si>
    <t>Sprint Backlog sheet</t>
  </si>
  <si>
    <t>Story points delivered (ESTIMATE)</t>
  </si>
  <si>
    <t>Stories only; tasks roll up</t>
  </si>
  <si>
    <t>QA stories / tasks (new, for testing team)</t>
  </si>
  <si>
    <t>7 / 13</t>
  </si>
  <si>
    <t>QA Backlog sheet</t>
  </si>
  <si>
    <t>Test cases</t>
  </si>
  <si>
    <t>Test Cases sheet</t>
  </si>
  <si>
    <t xml:space="preserve">  Pass</t>
  </si>
  <si>
    <t>Executed and passed</t>
  </si>
  <si>
    <t xml:space="preserve">  Failed then fixed</t>
  </si>
  <si>
    <t>Found a defect, fixed, re-verified</t>
  </si>
  <si>
    <t xml:space="preserve">  Not executed</t>
  </si>
  <si>
    <t>Still to run (see QA Backlog)</t>
  </si>
  <si>
    <t>Defects logged</t>
  </si>
  <si>
    <t>Defects sheet</t>
  </si>
  <si>
    <t>Change requests / decisions</t>
  </si>
  <si>
    <t>Change Requests sheet</t>
  </si>
  <si>
    <t>Business Case Lab size</t>
  </si>
  <si>
    <t>30 files / ~1,600 lines</t>
  </si>
  <si>
    <t>2026-09-20 21:34 to 2026-09-21 17:02</t>
  </si>
  <si>
    <t>Customer Prototype size</t>
  </si>
  <si>
    <t>36 files / ~1,846 lines</t>
  </si>
  <si>
    <t>2026-09-21 22:39 to 2026-09-22 02:50 (incl. 4 docs)</t>
  </si>
  <si>
    <t>Core prototype code generation</t>
  </si>
  <si>
    <t>8 minutes</t>
  </si>
  <si>
    <t>22:39-22:47, config + services + all screens</t>
  </si>
  <si>
    <t>Debugging and fixing</t>
  </si>
  <si>
    <t>about 40 minutes</t>
  </si>
  <si>
    <t>DEF-01..03 about 14 min; daylight-saving defect about 25 min; plus small fixes</t>
  </si>
  <si>
    <t>Phase</t>
  </si>
  <si>
    <t>Start</t>
  </si>
  <si>
    <t>End</t>
  </si>
  <si>
    <t>Elapsed</t>
  </si>
  <si>
    <t>What happened</t>
  </si>
  <si>
    <t>Evidence</t>
  </si>
  <si>
    <t>Business case: research + first build</t>
  </si>
  <si>
    <t>2026-09-20 21:34</t>
  </si>
  <si>
    <t>2026-09-20 22:17</t>
  </si>
  <si>
    <t>0h 43m</t>
  </si>
  <si>
    <t>Core Lab source written in bursts (types, research data, model, 5 agents, debate, report). 30 files, ~1,600 lines.</t>
  </si>
  <si>
    <t>File creation times</t>
  </si>
  <si>
    <t>Business case: PM changes applied (prepaid card, CAC 10, in-house)</t>
  </si>
  <si>
    <t>2026-09-21 17:01</t>
  </si>
  <si>
    <t>2026-09-21 17:02</t>
  </si>
  <si>
    <t>not measurable</t>
  </si>
  <si>
    <t>Model, agents, risks and decision logic re-wired after each PM update. File times only show the last edits (17:01-17:02); the start of these rounds cannot be read from the file system.</t>
  </si>
  <si>
    <t>File modified times</t>
  </si>
  <si>
    <t>Prototype: Phase 1 discovery (assumptions, conflicts, MVP scope)</t>
  </si>
  <si>
    <t>2026-09-21 ~22:00</t>
  </si>
  <si>
    <t>2026-09-21 22:39</t>
  </si>
  <si>
    <t>n/a</t>
  </si>
  <si>
    <t>Analysis + 4 decisions from PM. No code.</t>
  </si>
  <si>
    <t>Conversation</t>
  </si>
  <si>
    <t>Prototype: core code generation (config, services, 10 screens)</t>
  </si>
  <si>
    <t>2026-09-21 22:47</t>
  </si>
  <si>
    <t>0h 8m</t>
  </si>
  <si>
    <t>Foundations + all screens + first 3 docs created in one burst. ~1,850 lines total by the end of the project.</t>
  </si>
  <si>
    <t>Prototype: first verification + CR-01/02 (real price, 0.1 g step)</t>
  </si>
  <si>
    <t>2026-09-21 23:34</t>
  </si>
  <si>
    <t>0h 47m</t>
  </si>
  <si>
    <t>Scripted browser run of onboarding, buy, sell, edge cases; then price anchor and 0.1 g step changes.</t>
  </si>
  <si>
    <t>Waiting for PM feedback (screenshots)</t>
  </si>
  <si>
    <t>2026-09-22 01:59</t>
  </si>
  <si>
    <t>2h 25m</t>
  </si>
  <si>
    <t>No code changes. Idle from the build's point of view.</t>
  </si>
  <si>
    <t>Defect cycle: duplicate orders / balance drift (DEF-01..03) + palette (CR-03)</t>
  </si>
  <si>
    <t>2026-09-22 02:13</t>
  </si>
  <si>
    <t>0h 14m</t>
  </si>
  <si>
    <t>Reproduced (1 buy became 3), root-caused, store rewritten, re-tested; palette applied.</t>
  </si>
  <si>
    <t>CR-04/05/06/07 Portfolio + Daily P&amp;L + real-price ledger</t>
  </si>
  <si>
    <t>2026-09-22 02:39</t>
  </si>
  <si>
    <t>0h 26m</t>
  </si>
  <si>
    <t>Calendar, cumulative chart, real Sept price data, DST defect found and fixed.</t>
  </si>
  <si>
    <t>CR-10 New-customer onboarding: code + scripted tests</t>
  </si>
  <si>
    <t>2026-09-22 03:12</t>
  </si>
  <si>
    <t>2026-09-22 03:14</t>
  </si>
  <si>
    <t>2 min 17 s</t>
  </si>
  <si>
    <t>Scenario control, 10-step OnboardingNew flow, gating, prepaid card + top-up; scripted browser walk of all 10 steps, first buy, profile and two regressions (11 test cases run).</t>
  </si>
  <si>
    <t>Command timestamps</t>
  </si>
  <si>
    <t>CR-10 docs, tickets, test cases, design frames and workbook</t>
  </si>
  <si>
    <t>2026-09-22 03:17</t>
  </si>
  <si>
    <t>2 min 43 s</t>
  </si>
  <si>
    <t>PRD and flow doc updated, story AG-21 + 5 tasks, QA-7, TC-060..073, CR-10, branch diagram + 8 canvas frames.</t>
  </si>
  <si>
    <t>CR-08/09 P&amp;L card clarified then removed</t>
  </si>
  <si>
    <t>2026-09-22 02:50</t>
  </si>
  <si>
    <t>0h 11m</t>
  </si>
  <si>
    <t>Two small UI edits and re-verification.</t>
  </si>
  <si>
    <t>Effort summary</t>
  </si>
  <si>
    <t>Wall-clock (real)</t>
  </si>
  <si>
    <t>Files</t>
  </si>
  <si>
    <t>Lines</t>
  </si>
  <si>
    <t>Human-equivalent (ESTIMATE, not measured)</t>
  </si>
  <si>
    <t>Business Case Lab</t>
  </si>
  <si>
    <t>20 Sep 21:34 to 21 Sep 17:02 (19h 28m elapsed, mostly waiting for answers); initial code took 43 min, later update rounds are not separately measurable</t>
  </si>
  <si>
    <t>ESTIMATE: 60-90 person-hours (finance model, 5 agents, research, report)</t>
  </si>
  <si>
    <t>Customer Prototype (incl. docs)</t>
  </si>
  <si>
    <t>21 Sep 22:39 to 22 Sep 02:50 (4h 11m elapsed; ~2h 25m of it waiting for PM)</t>
  </si>
  <si>
    <t>ESTIMATE: 80-120 person-hours (design, 10+ screens, engine, QA)</t>
  </si>
  <si>
    <t>CR-10 New-customer onboarding (total)</t>
  </si>
  <si>
    <t>ESTIMATE: 12-20 person-hours for design, build, tests and documentation</t>
  </si>
  <si>
    <t>About 14 min for DEF-01..03 plus ~25 min inside the P&amp;L work for the daylight-saving defect; ~40 min total</t>
  </si>
  <si>
    <t>ESTIMATE: 6-10 person-hours incl. reproduction and regression</t>
  </si>
  <si>
    <t>Type</t>
  </si>
  <si>
    <t>ID</t>
  </si>
  <si>
    <t>Parent</t>
  </si>
  <si>
    <t>Summary</t>
  </si>
  <si>
    <t>Acceptance / detail</t>
  </si>
  <si>
    <t>Points (ESTIMATE)</t>
  </si>
  <si>
    <t>Status</t>
  </si>
  <si>
    <t>Sprint</t>
  </si>
  <si>
    <t>Component</t>
  </si>
  <si>
    <t>Epic</t>
  </si>
  <si>
    <t>AG-E1</t>
  </si>
  <si>
    <t>Business Case Lab (internal decision tool)</t>
  </si>
  <si>
    <t>Multi-agent, evidence-based business case for Aman Gold</t>
  </si>
  <si>
    <t>Done</t>
  </si>
  <si>
    <t>Sprint 1 (20-21 Sep 2026): Business Case Lab</t>
  </si>
  <si>
    <t>Business case</t>
  </si>
  <si>
    <t>Story</t>
  </si>
  <si>
    <t>AG-1</t>
  </si>
  <si>
    <t>As a PM I enter inputs with value, unit, source, type and confidence</t>
  </si>
  <si>
    <t>Types ACTUAL/EXTERNAL FACT/BENCHMARK/ASSUMPTION/ESTIMATE/UNKNOWN; blank = UNKNOWN; never upgraded</t>
  </si>
  <si>
    <t>Lab</t>
  </si>
  <si>
    <t>Task</t>
  </si>
  <si>
    <t>AG-1.1</t>
  </si>
  <si>
    <t>Define data types and input schema</t>
  </si>
  <si>
    <t>types.ts</t>
  </si>
  <si>
    <t>AG-1.2</t>
  </si>
  <si>
    <t>Load PM figures as inputs (customers, funnel, pricing, costs)</t>
  </si>
  <si>
    <t>assumptions.ts</t>
  </si>
  <si>
    <t>AG-1.3</t>
  </si>
  <si>
    <t>Inputs panel UI (edit value, type, confidence, source)</t>
  </si>
  <si>
    <t>InputsPanel.tsx</t>
  </si>
  <si>
    <t>AG-2</t>
  </si>
  <si>
    <t>As CFO I see revenue, cost, unit economics, scenarios, stress tests, break-even</t>
  </si>
  <si>
    <t>Formulas traceable to inputs; UNKNOWN never invented</t>
  </si>
  <si>
    <t>AG-2.1</t>
  </si>
  <si>
    <t>36-month monthly financial model</t>
  </si>
  <si>
    <t>financial-model.ts</t>
  </si>
  <si>
    <t>AG-2.2</t>
  </si>
  <si>
    <t>Conservative / Base / Aggressive scenarios</t>
  </si>
  <si>
    <t>AG-2.3</t>
  </si>
  <si>
    <t>9 stress tests + sensitivity tornado + break-even solver</t>
  </si>
  <si>
    <t>AG-2.4</t>
  </si>
  <si>
    <t>Number traceability (click a KPI to see inputs and type)</t>
  </si>
  <si>
    <t>Weakest data type wins</t>
  </si>
  <si>
    <t>AG-3</t>
  </si>
  <si>
    <t>As R&amp;D I have sourced market and competitor facts</t>
  </si>
  <si>
    <t>Every external claim has a source; unknown stays unknown</t>
  </si>
  <si>
    <t>AG-3.1</t>
  </si>
  <si>
    <t>Web research (Egypt gold demand, FRA statement, Thndr/mngm/Goldady, CAC benchmark, FX)</t>
  </si>
  <si>
    <t>11 sources registered</t>
  </si>
  <si>
    <t>Research</t>
  </si>
  <si>
    <t>AG-3.2</t>
  </si>
  <si>
    <t>Competitor table, gap analysis, sources registry</t>
  </si>
  <si>
    <t>AG-4</t>
  </si>
  <si>
    <t>As management I see five agents debate in 7 rounds and reach an evidence-based decision</t>
  </si>
  <si>
    <t>CEO/CFO/CMO/R&amp;D/Risk; positions can change; decision is a gate, not an average</t>
  </si>
  <si>
    <t>AG-4.1</t>
  </si>
  <si>
    <t>Five agent modules (deterministic, labelled DEMO AI AGENT)</t>
  </si>
  <si>
    <t>AG-4.2</t>
  </si>
  <si>
    <t>Debate engine rounds 1-7, consensus, decision matrix, risk register</t>
  </si>
  <si>
    <t>AG-4.3</t>
  </si>
  <si>
    <t>Validation plan (6 experiments) and 14-page management report</t>
  </si>
  <si>
    <t>AG-5</t>
  </si>
  <si>
    <t>As PM I re-run the case when assumptions change (prepaid card, CAC, in-house team)</t>
  </si>
  <si>
    <t>Agents and decision react; no stale text</t>
  </si>
  <si>
    <t>AG-5.1</t>
  </si>
  <si>
    <t>Apply CR-BC-01..05 to inputs, model, risks, agents</t>
  </si>
  <si>
    <t>AG-5.2</t>
  </si>
  <si>
    <t>Remove hardcoded text that went stale</t>
  </si>
  <si>
    <t>Fix for DEF-09</t>
  </si>
  <si>
    <t>AG-E2</t>
  </si>
  <si>
    <t>Product definition</t>
  </si>
  <si>
    <t>Discovery, decisions and documents</t>
  </si>
  <si>
    <t>Sprint 2 (21-22 Sep 2026): Customer Prototype</t>
  </si>
  <si>
    <t>Product</t>
  </si>
  <si>
    <t>AG-6</t>
  </si>
  <si>
    <t>As PM I get a Phase 1 discovery: assumptions, conflicts, MVP scope</t>
  </si>
  <si>
    <t>Conflicts C1-C9 listed; 4 decisions confirmed by PM</t>
  </si>
  <si>
    <t>AG-7</t>
  </si>
  <si>
    <t>As a team we have a PRD, flows, architecture, assumptions/compliance/risk/roadmap</t>
  </si>
  <si>
    <t>docs/01-04 (.md)</t>
  </si>
  <si>
    <t>AG-E3</t>
  </si>
  <si>
    <t>Design</t>
  </si>
  <si>
    <t>Customer experience and flow</t>
  </si>
  <si>
    <t>AG-8</t>
  </si>
  <si>
    <t>As a designer I have a clickable screen flow board</t>
  </si>
  <si>
    <t>Claude Design canvas (Figma file not created)</t>
  </si>
  <si>
    <t>AG-9</t>
  </si>
  <si>
    <t>As a brand owner the prototype uses the Aman palette</t>
  </si>
  <si>
    <t>Gradient #04768D to #64C2D3 (CR-03)</t>
  </si>
  <si>
    <t>AG-E4</t>
  </si>
  <si>
    <t>Aman Gold customer prototype</t>
  </si>
  <si>
    <t>Clickable mobile prototype, demo data</t>
  </si>
  <si>
    <t>Prototype</t>
  </si>
  <si>
    <t>AG-10</t>
  </si>
  <si>
    <t>Foundations: config, pricing service, engine, store, seed</t>
  </si>
  <si>
    <t>No business values in UI; ledger is the single source of truth</t>
  </si>
  <si>
    <t>AG-10.1</t>
  </si>
  <si>
    <t>product.ts config (spread, fee, limits, quote validity, funding)</t>
  </si>
  <si>
    <t>AG-10.2</t>
  </si>
  <si>
    <t>Pricing service (getCurrentGoldPrice, getHistoricalGoldPrices, buy/sell)</t>
  </si>
  <si>
    <t>Replaceable by provider API</t>
  </si>
  <si>
    <t>AG-10.3</t>
  </si>
  <si>
    <t>Transaction engine: quotes, validation, average-cost wallet, cash</t>
  </si>
  <si>
    <t>AG-10.4</t>
  </si>
  <si>
    <t>Atomic store with busy lock and derived balances</t>
  </si>
  <si>
    <t>Fix for DEF-01..03</t>
  </si>
  <si>
    <t>AG-11</t>
  </si>
  <si>
    <t>Discover and onboard (Home entry, landing, 7-step onboarding)</t>
  </si>
  <si>
    <t>Account check reuses data; KYC checklist configurable</t>
  </si>
  <si>
    <t>AG-12</t>
  </si>
  <si>
    <t>See portfolio value, holdings, price and chart (1D-1Y)</t>
  </si>
  <si>
    <t>Chart from pricing service; real daily prices 22 Aug-21 Sep 2026</t>
  </si>
  <si>
    <t>AG-13</t>
  </si>
  <si>
    <t>Buy gold in 0.1 g steps (by grams or EGP) with price lock and PIN</t>
  </si>
  <si>
    <t>Success shows ID and before/after balances</t>
  </si>
  <si>
    <t>AG-14</t>
  </si>
  <si>
    <t>Sell gold (by grams or EGP), proceeds to prepaid balance</t>
  </si>
  <si>
    <t>AG-15</t>
  </si>
  <si>
    <t>Portfolio: allocation donut, today's realized P&amp;L, unrealized P&amp;L, cumulative P&amp;L chart</t>
  </si>
  <si>
    <t>CR-04/06/09</t>
  </si>
  <si>
    <t>AG-16</t>
  </si>
  <si>
    <t>Daily P&amp;L calendar (realized only, today live)</t>
  </si>
  <si>
    <t>CR-04/07</t>
  </si>
  <si>
    <t>AG-17</t>
  </si>
  <si>
    <t>Transactions list and detail with before/after cash and gold</t>
  </si>
  <si>
    <t>AG-18</t>
  </si>
  <si>
    <t>Profile, documents, FAQ, support</t>
  </si>
  <si>
    <t>AG-19</t>
  </si>
  <si>
    <t>Edge cases and prototype controls (7 states)</t>
  </si>
  <si>
    <t>Insufficient balance/gold, price changed, failed tx, provider down, KYC incomplete, volatility</t>
  </si>
  <si>
    <t>AG-21</t>
  </si>
  <si>
    <t>New-customer onboarding: capture everything when nothing is on file</t>
  </si>
  <si>
    <t>10 steps: mobile, code, PIN, personal details, ID, selfie, prepaid card + InstaPay top-up, agreements, done. Demo validations only. Scenario control switches between customer types (CR-10)</t>
  </si>
  <si>
    <t>AG-21.1</t>
  </si>
  <si>
    <t>Scenario control: existing Aman customer / brand-new customer / existing investor</t>
  </si>
  <si>
    <t>store mode brandNew, PhoneShell controls</t>
  </si>
  <si>
    <t>AG-21.2</t>
  </si>
  <si>
    <t>OnboardingNew flow with step gating and 'fill demo data'</t>
  </si>
  <si>
    <t>OnboardingNew.tsx</t>
  </si>
  <si>
    <t>AG-21.3</t>
  </si>
  <si>
    <t>Prepaid card issue and first top-up; opening balance from the top-up</t>
  </si>
  <si>
    <t>Brand-new customer starts with EGP 0</t>
  </si>
  <si>
    <t>AG-21.4</t>
  </si>
  <si>
    <t>Design: branch diagram + 8 new-customer frames on the flow board</t>
  </si>
  <si>
    <t>Claude Design canvas</t>
  </si>
  <si>
    <t>AG-21.5</t>
  </si>
  <si>
    <t>Update PRD, flow doc, tickets, test cases and change log</t>
  </si>
  <si>
    <t>AG-20</t>
  </si>
  <si>
    <t>Realistic demo ledger on real Egypt prices with win/loss days</t>
  </si>
  <si>
    <t>20 transactions, +EGP 307.89 realized in Sep (7 winning / 4 losing days)</t>
  </si>
  <si>
    <t>QA-E1</t>
  </si>
  <si>
    <t>Aman Gold prototype: quality assurance</t>
  </si>
  <si>
    <t>Independent QA of the prototype and the business-case lab</t>
  </si>
  <si>
    <t>To do</t>
  </si>
  <si>
    <t>Sprint 3 (proposed)</t>
  </si>
  <si>
    <t>QA</t>
  </si>
  <si>
    <t>QA-1</t>
  </si>
  <si>
    <t>As QA I execute all 'Not executed' test cases and record results</t>
  </si>
  <si>
    <t>All TC rows with result 'Not executed' run by a human on Chrome desktop</t>
  </si>
  <si>
    <t>QA-1.1</t>
  </si>
  <si>
    <t>Run edge-case toggles: provider unavailable, KYC incomplete, fail next transaction, volatility banner</t>
  </si>
  <si>
    <t>TC-035..038</t>
  </si>
  <si>
    <t>QA-1.2</t>
  </si>
  <si>
    <t>Run top-up via InstaPay sheet and quote-expiry (wait 30 s) flows</t>
  </si>
  <si>
    <t>TC-031b, TC-034</t>
  </si>
  <si>
    <t>QA-1.3</t>
  </si>
  <si>
    <t>Run transaction detail, profile/FAQ, hide-balance, bars view, reload persistence</t>
  </si>
  <si>
    <t>TC-049..054</t>
  </si>
  <si>
    <t>QA-2</t>
  </si>
  <si>
    <t>As QA I verify ledger integrity under stress</t>
  </si>
  <si>
    <t>No duplicate IDs, cash and gold always equal a recomputation from the ledger</t>
  </si>
  <si>
    <t>QA-2.1</t>
  </si>
  <si>
    <t>Rapid-tap and double-click tests on every confirm and PIN control</t>
  </si>
  <si>
    <t>Regression for DEF-01</t>
  </si>
  <si>
    <t>QA-2.2</t>
  </si>
  <si>
    <t>Randomized buy/sell sequences (100+) compared with an independent calculator</t>
  </si>
  <si>
    <t>Average cost, realized, unrealized, cash</t>
  </si>
  <si>
    <t>QA-2.3</t>
  </si>
  <si>
    <t>Boundary tests: 0.1 g, 0.0 g, max order, daily limit, sell everything</t>
  </si>
  <si>
    <t>QA-3</t>
  </si>
  <si>
    <t>As QA I validate P&amp;L calendar and charts</t>
  </si>
  <si>
    <t>Calendar, cumulative chart and portfolio agree at all times, incl. month and daylight-saving boundaries</t>
  </si>
  <si>
    <t>QA-3.1</t>
  </si>
  <si>
    <t>Test months boundaries (Oct 2025 to Sep 2026) and daylight-saving change dates</t>
  </si>
  <si>
    <t>Regression for DEF-04</t>
  </si>
  <si>
    <t>QA-4</t>
  </si>
  <si>
    <t>As QA I check UI on phone sizes, browsers and accessibility</t>
  </si>
  <si>
    <t>iPhone 390 px, Android 360 px, Chrome/Safari/Edge, keyboard and contrast</t>
  </si>
  <si>
    <t>QA-4.1</t>
  </si>
  <si>
    <t>Visual comparison with Aman Home and the palette</t>
  </si>
  <si>
    <t>QA-5</t>
  </si>
  <si>
    <t>As QA I verify data accuracy and labelling</t>
  </si>
  <si>
    <t>Real daily prices match source; DEMO labels present; no assumption shown as fact</t>
  </si>
  <si>
    <t>QA-5.1</t>
  </si>
  <si>
    <t>Cross-check 31 daily prices against the source table and a second site</t>
  </si>
  <si>
    <t>QA-5.2</t>
  </si>
  <si>
    <t>Check every business-case number can be traced to an input and type</t>
  </si>
  <si>
    <t>Traceability modal</t>
  </si>
  <si>
    <t>QA-7</t>
  </si>
  <si>
    <t>As QA I verify new-customer onboarding validations and recovery</t>
  </si>
  <si>
    <t>Every field validation, back navigation and refresh behaviour, plus scenario switching</t>
  </si>
  <si>
    <t>QA-7.1</t>
  </si>
  <si>
    <t>Field validation edge cases: short mobile, 13-digit ID, wrong DOB format, short address, mismatched PIN</t>
  </si>
  <si>
    <t>TC-071</t>
  </si>
  <si>
    <t>QA-7.2</t>
  </si>
  <si>
    <t>Back navigation keeps typed values; refresh mid-flow behaviour agreed with Product</t>
  </si>
  <si>
    <t>TC-072</t>
  </si>
  <si>
    <t>QA-7.3</t>
  </si>
  <si>
    <t>Skip top-up, then attempt a buy (insufficient balance path)</t>
  </si>
  <si>
    <t>TC-073</t>
  </si>
  <si>
    <t>QA-6</t>
  </si>
  <si>
    <t>As QA I test the Business Case Lab what-if sliders and report generation</t>
  </si>
  <si>
    <t>Sliders recompute; 14-page report locks inputs</t>
  </si>
  <si>
    <t>Area</t>
  </si>
  <si>
    <t>Title</t>
  </si>
  <si>
    <t>Preconditions</t>
  </si>
  <si>
    <t>Steps</t>
  </si>
  <si>
    <t>Expected</t>
  </si>
  <si>
    <t>Actual</t>
  </si>
  <si>
    <t>Result</t>
  </si>
  <si>
    <t>Method</t>
  </si>
  <si>
    <t>Defect</t>
  </si>
  <si>
    <t>Linked CR</t>
  </si>
  <si>
    <t>TC-001</t>
  </si>
  <si>
    <t>Default inputs load with value, unit, source, type</t>
  </si>
  <si>
    <t>Open Lab</t>
  </si>
  <si>
    <t>Read Inputs tab</t>
  </si>
  <si>
    <t>39 inputs each with type and confidence</t>
  </si>
  <si>
    <t>Inputs rendered with types</t>
  </si>
  <si>
    <t>Pass</t>
  </si>
  <si>
    <t>Scripted browser check (Claude), DOM text assertions</t>
  </si>
  <si>
    <t>TC-002</t>
  </si>
  <si>
    <t>Funnel math (30% x 20% x 10% of 360K MAU)</t>
  </si>
  <si>
    <t>Default inputs</t>
  </si>
  <si>
    <t>Run model</t>
  </si>
  <si>
    <t>2,160 first buyers</t>
  </si>
  <si>
    <t>2,160 buyers</t>
  </si>
  <si>
    <t>Node run of the model</t>
  </si>
  <si>
    <t>TC-003</t>
  </si>
  <si>
    <t>Negative unit margin when gateway 1% and spread 0.5%</t>
  </si>
  <si>
    <t>Original inputs</t>
  </si>
  <si>
    <t>Read unit economics</t>
  </si>
  <si>
    <t>-0.50% per EGP</t>
  </si>
  <si>
    <t>-0.50%</t>
  </si>
  <si>
    <t>Node run + UI</t>
  </si>
  <si>
    <t>TC-004</t>
  </si>
  <si>
    <t>Aggressive scenario loses more than Base at negative margin</t>
  </si>
  <si>
    <t>Compare scenarios</t>
  </si>
  <si>
    <t>Aggressive net &lt; Base net</t>
  </si>
  <si>
    <t>-42.7M vs -40.9M</t>
  </si>
  <si>
    <t>Node run</t>
  </si>
  <si>
    <t>TC-005</t>
  </si>
  <si>
    <t>Model after PM changes (gateway 0, CAC 10)</t>
  </si>
  <si>
    <t>Updated inputs</t>
  </si>
  <si>
    <t>Read dashboard and decision</t>
  </si>
  <si>
    <t>Margin +0.5%, LTV/CAC 6.5, payback ~2 months, PROCEED WITH CONDITIONS</t>
  </si>
  <si>
    <t>+0.50%, 6.5, 2.1 months, PROCEED WITH CONDITIONS</t>
  </si>
  <si>
    <t>CR-BC-01/03</t>
  </si>
  <si>
    <t>TC-006</t>
  </si>
  <si>
    <t>Stress tests after PM changes</t>
  </si>
  <si>
    <t>Read stress table</t>
  </si>
  <si>
    <t>Viability shown per shock</t>
  </si>
  <si>
    <t>9 of 9 viable, tiny absolute values</t>
  </si>
  <si>
    <t>TC-007</t>
  </si>
  <si>
    <t>UNKNOWN inputs are excluded, not invented</t>
  </si>
  <si>
    <t>Buy/sell ratio blank</t>
  </si>
  <si>
    <t>Sell side excluded and flagged</t>
  </si>
  <si>
    <t>Excluded and listed as UNKNOWN</t>
  </si>
  <si>
    <t>TC-008</t>
  </si>
  <si>
    <t>Click a KPI to trace it (modal)</t>
  </si>
  <si>
    <t>Click Revenue tile</t>
  </si>
  <si>
    <t>Modal with inputs and weakest type</t>
  </si>
  <si>
    <t>Tile type label seen; modal not opened</t>
  </si>
  <si>
    <t>Not executed</t>
  </si>
  <si>
    <t>-</t>
  </si>
  <si>
    <t>TC-009</t>
  </si>
  <si>
    <t>Generate Management Business Case</t>
  </si>
  <si>
    <t>Click generate</t>
  </si>
  <si>
    <t>12 steps, inputs locked, 14 pages</t>
  </si>
  <si>
    <t>15 page blocks incl. cover; last page = decision</t>
  </si>
  <si>
    <t>TC-010</t>
  </si>
  <si>
    <t>No console errors on load and tab switching</t>
  </si>
  <si>
    <t>Switch all tabs</t>
  </si>
  <si>
    <t>No errors</t>
  </si>
  <si>
    <t>Browser console read</t>
  </si>
  <si>
    <t>TC-011</t>
  </si>
  <si>
    <t>Seven debate rounds render</t>
  </si>
  <si>
    <t>Open Agents tab</t>
  </si>
  <si>
    <t>Count round sections</t>
  </si>
  <si>
    <t>Rounds 1-7 present</t>
  </si>
  <si>
    <t>All rounds and 6 tables present</t>
  </si>
  <si>
    <t>TC-012</t>
  </si>
  <si>
    <t>Agents revise positions in round 7</t>
  </si>
  <si>
    <t>Read round 7</t>
  </si>
  <si>
    <t>At least one agent changes</t>
  </si>
  <si>
    <t>CEO changed to VALIDATE FURTHER (original inputs)</t>
  </si>
  <si>
    <t>TC-013</t>
  </si>
  <si>
    <t>What-if sliders recompute all outputs</t>
  </si>
  <si>
    <t>Open Financial tab</t>
  </si>
  <si>
    <t>Move sliders</t>
  </si>
  <si>
    <t>Outputs update instantly</t>
  </si>
  <si>
    <t>Not exercised</t>
  </si>
  <si>
    <t>TC-014</t>
  </si>
  <si>
    <t>Revenue type label is correct</t>
  </si>
  <si>
    <t>Read dashboard type</t>
  </si>
  <si>
    <t>Weakest input type (ESTIMATE)</t>
  </si>
  <si>
    <t>Showed UNKNOWN</t>
  </si>
  <si>
    <t>Fail -&gt; Fixed</t>
  </si>
  <si>
    <t>DEF-08</t>
  </si>
  <si>
    <t>TC-015</t>
  </si>
  <si>
    <t>Agent text follows input changes</t>
  </si>
  <si>
    <t>Change inputs</t>
  </si>
  <si>
    <t>Read agent text</t>
  </si>
  <si>
    <t>No stale numbers or claims</t>
  </si>
  <si>
    <t>Stale hardcoded text found in several places</t>
  </si>
  <si>
    <t>DEF-09</t>
  </si>
  <si>
    <t>TC-020</t>
  </si>
  <si>
    <t>Home shows Gold strip and tile with price</t>
  </si>
  <si>
    <t>Open app</t>
  </si>
  <si>
    <t>Read Home</t>
  </si>
  <si>
    <t>Gold strip, tile, price per gram</t>
  </si>
  <si>
    <t>Present, price EGP 7,224</t>
  </si>
  <si>
    <t>TC-021</t>
  </si>
  <si>
    <t>Landing shows price, chart, buy/sell, fees, risk</t>
  </si>
  <si>
    <t>New customer</t>
  </si>
  <si>
    <t>Open Gold tile</t>
  </si>
  <si>
    <t>All blocks visible</t>
  </si>
  <si>
    <t>All present</t>
  </si>
  <si>
    <t>TC-022</t>
  </si>
  <si>
    <t>Onboarding 7 steps to Done</t>
  </si>
  <si>
    <t>Walk all steps, any 4-digit OTP, tick agreement</t>
  </si>
  <si>
    <t>Reaches dashboard</t>
  </si>
  <si>
    <t>Reached dashboard, empty state</t>
  </si>
  <si>
    <t>TC-023</t>
  </si>
  <si>
    <t>Empty dashboard for new customer</t>
  </si>
  <si>
    <t>After onboarding</t>
  </si>
  <si>
    <t>Read dashboard</t>
  </si>
  <si>
    <t>EGP 0, 0.0 g, Sell disabled</t>
  </si>
  <si>
    <t>As expected</t>
  </si>
  <si>
    <t>TC-024</t>
  </si>
  <si>
    <t>Buy by EGP rounds down to 0.1 g step</t>
  </si>
  <si>
    <t>Buy screen</t>
  </si>
  <si>
    <t>Enter EGP 2,000</t>
  </si>
  <si>
    <t>0.2 g for EGP 1,451.82, remainder shown</t>
  </si>
  <si>
    <t>0.2 g, EGP 548.18 stays in balance</t>
  </si>
  <si>
    <t>CR-02</t>
  </si>
  <si>
    <t>TC-025</t>
  </si>
  <si>
    <t>Buy by grams: 0.25 g invalid, 0.5 g valid</t>
  </si>
  <si>
    <t>Enter 0.25 then use chip 0.5</t>
  </si>
  <si>
    <t>Step error; then summary</t>
  </si>
  <si>
    <t>Error shown; summary shown</t>
  </si>
  <si>
    <t>TC-026</t>
  </si>
  <si>
    <t>Below minimum blocked</t>
  </si>
  <si>
    <t>EGP 500 by EGP</t>
  </si>
  <si>
    <t>'The minimum is 0.1 g.'</t>
  </si>
  <si>
    <t>Message shown</t>
  </si>
  <si>
    <t>TC-027</t>
  </si>
  <si>
    <t>Order summary content</t>
  </si>
  <si>
    <t>Buy 0.5 g</t>
  </si>
  <si>
    <t>Review order</t>
  </si>
  <si>
    <t>Qty, price, investment, fee 0, total, method, 30 s lock</t>
  </si>
  <si>
    <t>All shown</t>
  </si>
  <si>
    <t>TC-028</t>
  </si>
  <si>
    <t>PIN, processing, success with ID</t>
  </si>
  <si>
    <t>Order summary</t>
  </si>
  <si>
    <t>Confirm, enter 1234</t>
  </si>
  <si>
    <t>Success with transaction ID</t>
  </si>
  <si>
    <t>GOLD-000124 shown</t>
  </si>
  <si>
    <t>TC-029</t>
  </si>
  <si>
    <t>Success shows before/after gold and cash</t>
  </si>
  <si>
    <t>After buy</t>
  </si>
  <si>
    <t>Read success</t>
  </si>
  <si>
    <t>Balances consistent</t>
  </si>
  <si>
    <t>Consistent</t>
  </si>
  <si>
    <t>TC-030</t>
  </si>
  <si>
    <t>Sell by grams/EGP with percent chips and 'credited to balance'</t>
  </si>
  <si>
    <t>Holding gold</t>
  </si>
  <si>
    <t>Sell 50% / 100%</t>
  </si>
  <si>
    <t>Summary and success show proceeds credited</t>
  </si>
  <si>
    <t>TC-031a</t>
  </si>
  <si>
    <t>Insufficient balance message</t>
  </si>
  <si>
    <t>Existing investor</t>
  </si>
  <si>
    <t>Buy 30,000 EGP</t>
  </si>
  <si>
    <t>'You don't have enough available balance.' + top-up link</t>
  </si>
  <si>
    <t>Message and link shown</t>
  </si>
  <si>
    <t>TC-031b</t>
  </si>
  <si>
    <t>InstaPay top-up sheet adds balance</t>
  </si>
  <si>
    <t>After TC-031a</t>
  </si>
  <si>
    <t>Tap top-up and choose amount</t>
  </si>
  <si>
    <t>Balance increases</t>
  </si>
  <si>
    <t>Sheet not executed</t>
  </si>
  <si>
    <t>TC-032</t>
  </si>
  <si>
    <t>Insufficient gold message</t>
  </si>
  <si>
    <t>Sell 50 g</t>
  </si>
  <si>
    <t>'You don't have enough gold to complete this sale.'</t>
  </si>
  <si>
    <t>TC-033</t>
  </si>
  <si>
    <t>Price changed when price moves during quote</t>
  </si>
  <si>
    <t>Open summary</t>
  </si>
  <si>
    <t>Click +3% then Confirm</t>
  </si>
  <si>
    <t>'The gold price has changed...' sheet</t>
  </si>
  <si>
    <t>Sheet shown</t>
  </si>
  <si>
    <t>TC-034</t>
  </si>
  <si>
    <t>Quote expires after 30 s</t>
  </si>
  <si>
    <t>Wait 30 s</t>
  </si>
  <si>
    <t>Price changed sheet</t>
  </si>
  <si>
    <t>Countdown seen, expiry not waited</t>
  </si>
  <si>
    <t>TC-035</t>
  </si>
  <si>
    <t>Provider unavailable disables trading</t>
  </si>
  <si>
    <t>Control on</t>
  </si>
  <si>
    <t>Open Gold</t>
  </si>
  <si>
    <t>Banner + Buy/Sell disabled</t>
  </si>
  <si>
    <t>TC-036</t>
  </si>
  <si>
    <t>KYC incomplete blocks investing</t>
  </si>
  <si>
    <t>Try buy</t>
  </si>
  <si>
    <t>'Please complete your information...'</t>
  </si>
  <si>
    <t>TC-037</t>
  </si>
  <si>
    <t>Failed transaction screen, balances unchanged</t>
  </si>
  <si>
    <t>Complete a buy</t>
  </si>
  <si>
    <t>'We couldn't complete your transaction'</t>
  </si>
  <si>
    <t>TC-038</t>
  </si>
  <si>
    <t>Volatility banner</t>
  </si>
  <si>
    <t>Open trade</t>
  </si>
  <si>
    <t>Rapid-change warning</t>
  </si>
  <si>
    <t>TC-039</t>
  </si>
  <si>
    <t>One order creates exactly one transaction</t>
  </si>
  <si>
    <t>Buy 0.5 g and tap 5-7 PIN keys</t>
  </si>
  <si>
    <t>1 new transaction</t>
  </si>
  <si>
    <t>Before fix: 3 transactions and +1.5 g. After fix: 1 in each of 3 orders</t>
  </si>
  <si>
    <t>Scripted reproduction, then re-run</t>
  </si>
  <si>
    <t>DEF-01</t>
  </si>
  <si>
    <t>TC-040</t>
  </si>
  <si>
    <t>Cash and gold reconcile to the ledger</t>
  </si>
  <si>
    <t>After trades</t>
  </si>
  <si>
    <t>Recompute independently</t>
  </si>
  <si>
    <t>Match</t>
  </si>
  <si>
    <t>6.9 g, EGP 36,456.30, average EGP 6,535.91 all match</t>
  </si>
  <si>
    <t>Independent recomputation in browser</t>
  </si>
  <si>
    <t>DEF-02</t>
  </si>
  <si>
    <t>TC-041</t>
  </si>
  <si>
    <t>Buy, partial sell, re-buy keeps P&amp;L valid</t>
  </si>
  <si>
    <t>Run sequence</t>
  </si>
  <si>
    <t>Average cost and P&amp;L consistent</t>
  </si>
  <si>
    <t>Consistent; unrealized = (sell - avg) x grams</t>
  </si>
  <si>
    <t>Independent recomputation</t>
  </si>
  <si>
    <t>DEF-03</t>
  </si>
  <si>
    <t>TC-042</t>
  </si>
  <si>
    <t>Unrealized P&amp;L formula</t>
  </si>
  <si>
    <t>Holding 6.9 g</t>
  </si>
  <si>
    <t>Compare UI with formula</t>
  </si>
  <si>
    <t>(7,185.71 - 6,535.91) x 6.9 = 4,483.6</t>
  </si>
  <si>
    <t>UI +4,484</t>
  </si>
  <si>
    <t>TC-043</t>
  </si>
  <si>
    <t>Calendar month total equals sum of sells</t>
  </si>
  <si>
    <t>Read September</t>
  </si>
  <si>
    <t>= sum of sell realized P&amp;L</t>
  </si>
  <si>
    <t>+307.89 vs 307.91 (rounding)</t>
  </si>
  <si>
    <t>TC-044</t>
  </si>
  <si>
    <t>Daily totals reconcile to portfolio total</t>
  </si>
  <si>
    <t>First P&amp;L design</t>
  </si>
  <si>
    <t>Sum months vs total</t>
  </si>
  <si>
    <t>Equal</t>
  </si>
  <si>
    <t>Short by EGP 50 (a daylight-saving day was mishandled)</t>
  </si>
  <si>
    <t>Scripted comparison</t>
  </si>
  <si>
    <t>DEF-04</t>
  </si>
  <si>
    <t>CR-04</t>
  </si>
  <si>
    <t>TC-045</t>
  </si>
  <si>
    <t>Today's cell is live</t>
  </si>
  <si>
    <t>Sell 2.7 g today</t>
  </si>
  <si>
    <t>Today's row and cell show the sale</t>
  </si>
  <si>
    <t>-127.09 in row and cell; month +180.80; cumulative +180.80</t>
  </si>
  <si>
    <t>CR-07</t>
  </si>
  <si>
    <t>TC-046</t>
  </si>
  <si>
    <t>Cumulative chart ends at calendar total</t>
  </si>
  <si>
    <t>Compare</t>
  </si>
  <si>
    <t>+307.89</t>
  </si>
  <si>
    <t>CR-06</t>
  </si>
  <si>
    <t>TC-047</t>
  </si>
  <si>
    <t>Chart ranges use real daily prices</t>
  </si>
  <si>
    <t>Dashboard</t>
  </si>
  <si>
    <t>Read 1W and 1M low/high</t>
  </si>
  <si>
    <t>1W 7,136-7,368; 1M 7,105-7,551</t>
  </si>
  <si>
    <t>Matches source table</t>
  </si>
  <si>
    <t>CR-05</t>
  </si>
  <si>
    <t>TC-048</t>
  </si>
  <si>
    <t>Palette applied</t>
  </si>
  <si>
    <t>Any screen</t>
  </si>
  <si>
    <t>Read computed styles</t>
  </si>
  <si>
    <t>#04768D to #64C2D3; button #04768D</t>
  </si>
  <si>
    <t>Computed style read</t>
  </si>
  <si>
    <t>CR-03</t>
  </si>
  <si>
    <t>TC-049</t>
  </si>
  <si>
    <t>Transactions list newest first; detail shows before/after</t>
  </si>
  <si>
    <t>Open Activity, then a row</t>
  </si>
  <si>
    <t>List and detail correct</t>
  </si>
  <si>
    <t>List seen; detail not opened</t>
  </si>
  <si>
    <t>TC-050</t>
  </si>
  <si>
    <t>Profile, documents, FAQ</t>
  </si>
  <si>
    <t>Any</t>
  </si>
  <si>
    <t>Open Profile sheets</t>
  </si>
  <si>
    <t>Content shows</t>
  </si>
  <si>
    <t>TC-051</t>
  </si>
  <si>
    <t>Hide balances (eye) masks values</t>
  </si>
  <si>
    <t>Portfolio</t>
  </si>
  <si>
    <t>Tap eye</t>
  </si>
  <si>
    <t>Values masked</t>
  </si>
  <si>
    <t>TC-052</t>
  </si>
  <si>
    <t>Daily P&amp;L Bars view and day detail sheet</t>
  </si>
  <si>
    <t>Daily P&amp;L</t>
  </si>
  <si>
    <t>Switch view, tap a day</t>
  </si>
  <si>
    <t>Bars and sheet show</t>
  </si>
  <si>
    <t>TC-053</t>
  </si>
  <si>
    <t>Month navigation back to first trade month</t>
  </si>
  <si>
    <t>Tap previous until disabled</t>
  </si>
  <si>
    <t>Ends at Oct 2025</t>
  </si>
  <si>
    <t>Reached Oct 2025</t>
  </si>
  <si>
    <t>TC-054</t>
  </si>
  <si>
    <t>State persists after reload</t>
  </si>
  <si>
    <t>Reload page</t>
  </si>
  <si>
    <t>Ledger retained</t>
  </si>
  <si>
    <t>Not verified</t>
  </si>
  <si>
    <t>TC-055</t>
  </si>
  <si>
    <t>Phone-size layout and other browsers</t>
  </si>
  <si>
    <t>Test 360-390 px, Safari, Edge</t>
  </si>
  <si>
    <t>Layout intact</t>
  </si>
  <si>
    <t>Only desktop Chrome pane used</t>
  </si>
  <si>
    <t>TC-056</t>
  </si>
  <si>
    <t>Accessibility: keyboard and contrast</t>
  </si>
  <si>
    <t>Tab through flows</t>
  </si>
  <si>
    <t>Usable and readable</t>
  </si>
  <si>
    <t>Not tested</t>
  </si>
  <si>
    <t>TC-057</t>
  </si>
  <si>
    <t>Chart preview for invalid quantity</t>
  </si>
  <si>
    <t>Buy 0.25 g</t>
  </si>
  <si>
    <t>Read preview</t>
  </si>
  <si>
    <t>No misleading rounded quantity</t>
  </si>
  <si>
    <t>Showed '0.3 g' before fix</t>
  </si>
  <si>
    <t>DEF-10</t>
  </si>
  <si>
    <t>TC-058</t>
  </si>
  <si>
    <t>Calendar cell precision</t>
  </si>
  <si>
    <t>Read Sept 16</t>
  </si>
  <si>
    <t>+115.59</t>
  </si>
  <si>
    <t>Showed +116 before fix</t>
  </si>
  <si>
    <t>DEF-13</t>
  </si>
  <si>
    <t>TC-060</t>
  </si>
  <si>
    <t>Scenario control starts a brand-new customer with nothing on file</t>
  </si>
  <si>
    <t>Any state</t>
  </si>
  <si>
    <t>Choose 'Brand-new customer'</t>
  </si>
  <si>
    <t>Empty profile; landing then new-customer onboarding</t>
  </si>
  <si>
    <t>New-customer flow shown ('New to Aman?'), no data on file</t>
  </si>
  <si>
    <t>CR-10</t>
  </si>
  <si>
    <t>TC-061</t>
  </si>
  <si>
    <t>New-customer steps are gated until valid</t>
  </si>
  <si>
    <t>Brand-new customer</t>
  </si>
  <si>
    <t>Walk 10 steps, checking the button at each</t>
  </si>
  <si>
    <t>Continue disabled until the step is valid</t>
  </si>
  <si>
    <t>Correctly disabled/enabled at every step</t>
  </si>
  <si>
    <t>TC-062</t>
  </si>
  <si>
    <t>PIN mismatch is blocked with a message</t>
  </si>
  <si>
    <t>Step 4</t>
  </si>
  <si>
    <t>Enter 1234 and 9999</t>
  </si>
  <si>
    <t>'PINs do not match.'; continue disabled</t>
  </si>
  <si>
    <t>Message shown; disabled</t>
  </si>
  <si>
    <t>TC-063</t>
  </si>
  <si>
    <t>Personal details validation and demo-fill</t>
  </si>
  <si>
    <t>Step 5</t>
  </si>
  <si>
    <t>Empty, then 'Fill demo data'</t>
  </si>
  <si>
    <t>Disabled when empty; enabled when valid</t>
  </si>
  <si>
    <t>TC-064</t>
  </si>
  <si>
    <t>ID needs both sides; selfie required</t>
  </si>
  <si>
    <t>Steps 6-7</t>
  </si>
  <si>
    <t>Capture one side, then both; take selfie</t>
  </si>
  <si>
    <t>Continue only after all captures</t>
  </si>
  <si>
    <t>TC-065</t>
  </si>
  <si>
    <t>Prepaid card issue and InstaPay top-up</t>
  </si>
  <si>
    <t>Step 8</t>
  </si>
  <si>
    <t>Issue card, choose 10K</t>
  </si>
  <si>
    <t>Card shown; balance EGP 10,000</t>
  </si>
  <si>
    <t>Balance EGP 10,000</t>
  </si>
  <si>
    <t>TC-066</t>
  </si>
  <si>
    <t>Completion summary and dashboard</t>
  </si>
  <si>
    <t>Steps 9-10</t>
  </si>
  <si>
    <t>Accept terms, View Gold</t>
  </si>
  <si>
    <t>Masked ID, balance; dashboard greets by name</t>
  </si>
  <si>
    <t>'Hi, Sara', ID 2900******4567, EGP 0 gold</t>
  </si>
  <si>
    <t>TC-067</t>
  </si>
  <si>
    <t>First buy from the new customer's balance</t>
  </si>
  <si>
    <t>Cash 10,000 to 6,370.31</t>
  </si>
  <si>
    <t>EGP 10,000.00 to 6,370.31; gold 0.0 to 0.5 g</t>
  </si>
  <si>
    <t>TC-068</t>
  </si>
  <si>
    <t>Profile shows the captured data</t>
  </si>
  <si>
    <t>Open Profile</t>
  </si>
  <si>
    <t>Name, mobile, KYC Complete, card, balance</t>
  </si>
  <si>
    <t>All shown correctly</t>
  </si>
  <si>
    <t>TC-069</t>
  </si>
  <si>
    <t>Regression: existing-customer onboarding</t>
  </si>
  <si>
    <t>Existing Aman customer scenario</t>
  </si>
  <si>
    <t>Start onboarding</t>
  </si>
  <si>
    <t>Account check with data on file</t>
  </si>
  <si>
    <t>Account check shown with Ahmed's data</t>
  </si>
  <si>
    <t>TC-070</t>
  </si>
  <si>
    <t>Regression: existing investor scenario</t>
  </si>
  <si>
    <t>Existing investor scenario</t>
  </si>
  <si>
    <t>20 transactions, 5.5 g</t>
  </si>
  <si>
    <t>20 transactions, 5.5 g, EGP 39,528</t>
  </si>
  <si>
    <t>Field validation edge cases</t>
  </si>
  <si>
    <t>Step 2, 5</t>
  </si>
  <si>
    <t>Short mobile, 13-digit ID, bad DOB, short address</t>
  </si>
  <si>
    <t>Each blocked with the right hint</t>
  </si>
  <si>
    <t>Only happy path and PIN mismatch exercised</t>
  </si>
  <si>
    <t>Back keeps values; refresh mid-flow</t>
  </si>
  <si>
    <t>Any step</t>
  </si>
  <si>
    <t>Go back; reload</t>
  </si>
  <si>
    <t>Values kept / defined behaviour</t>
  </si>
  <si>
    <t>Skip top-up then try to buy</t>
  </si>
  <si>
    <t>Zero balance</t>
  </si>
  <si>
    <t>Buy any amount</t>
  </si>
  <si>
    <t>Insufficient balance with top-up link</t>
  </si>
  <si>
    <t>TC-059</t>
  </si>
  <si>
    <t>Prototype opens on the right URL</t>
  </si>
  <si>
    <t>Fresh machine</t>
  </si>
  <si>
    <t>Prototype, not Connector Directory</t>
  </si>
  <si>
    <t>User opened port 3000 (wrong app)</t>
  </si>
  <si>
    <t>User report</t>
  </si>
  <si>
    <t>DEF-06</t>
  </si>
  <si>
    <t>Severity</t>
  </si>
  <si>
    <t>Found by</t>
  </si>
  <si>
    <t>Root cause</t>
  </si>
  <si>
    <t>Fix</t>
  </si>
  <si>
    <t>Verified</t>
  </si>
  <si>
    <t>High</t>
  </si>
  <si>
    <t>PM (screenshots 3-4) and Claude reproduction</t>
  </si>
  <si>
    <t>One order created several transactions; gold balance did not match history</t>
  </si>
  <si>
    <t>PIN pad accepted taps after the 4th digit and each tap re-submitted the order</t>
  </si>
  <si>
    <t>Ignore taps after 4th digit; one order at a time (busy lock); checks re-run at commit</t>
  </si>
  <si>
    <t>Yes (TC-039)</t>
  </si>
  <si>
    <t>PM (screenshot 2)</t>
  </si>
  <si>
    <t>Available balance far above starting cash after one losing trade</t>
  </si>
  <si>
    <t>Cash stored separately from the ledger and updated from stale values</t>
  </si>
  <si>
    <t>Cash and gold are derived from the ledger, never stored; atomic state updates</t>
  </si>
  <si>
    <t>Yes (TC-040)</t>
  </si>
  <si>
    <t>PM (screenshot 1)</t>
  </si>
  <si>
    <t>Average buy price EGP 18,276 and -60% unrealized P&amp;L</t>
  </si>
  <si>
    <t>Duplicate sells oversold gold; cost basis stopped shrinking</t>
  </si>
  <si>
    <t>Wallet cannot sell more than held; P&amp;L replay clamps</t>
  </si>
  <si>
    <t>Yes (TC-041, 042)</t>
  </si>
  <si>
    <t>Medium</t>
  </si>
  <si>
    <t>Claude (reconciliation check)</t>
  </si>
  <si>
    <t>Daily P&amp;L totals EGP 50 short of portfolio total</t>
  </si>
  <si>
    <t>Fixed 24-hour day steps broke at Egypt's daylight-saving change</t>
  </si>
  <si>
    <t>Calendar-safe date arithmetic (later design uses realized-only)</t>
  </si>
  <si>
    <t>Yes (TC-044)</t>
  </si>
  <si>
    <t>DEF-05</t>
  </si>
  <si>
    <t>Low</t>
  </si>
  <si>
    <t>PM</t>
  </si>
  <si>
    <t>P&amp;L card mixed periods and looked contradictory to Today's Realized</t>
  </si>
  <si>
    <t>Card showed all-time realized next to today's value without labels</t>
  </si>
  <si>
    <t>Periods labelled, then card removed (CR-08/09)</t>
  </si>
  <si>
    <t>Yes</t>
  </si>
  <si>
    <t>Prototype link opened the Connector Directory</t>
  </si>
  <si>
    <t>Two local apps: port 3000 (other) vs 3200 (prototype)</t>
  </si>
  <si>
    <t>Correct URL communicated; one-click launcher added</t>
  </si>
  <si>
    <t>DEF-07</t>
  </si>
  <si>
    <t>Claude</t>
  </si>
  <si>
    <t>Blank page when the dev server stopped</t>
  </si>
  <si>
    <t>Local dev server process ended</t>
  </si>
  <si>
    <t>Restarted; launcher .bat provided</t>
  </si>
  <si>
    <t>Lab revenue tile labelled UNKNOWN</t>
  </si>
  <si>
    <t>Failure-rate input typed UNKNOWN with value 0</t>
  </si>
  <si>
    <t>Typed ASSUMPTION (0%)</t>
  </si>
  <si>
    <t>Yes (TC-014)</t>
  </si>
  <si>
    <t>Agent text quoted old numbers after inputs changed</t>
  </si>
  <si>
    <t>Hardcoded phrases in agents, debate and decision</t>
  </si>
  <si>
    <t>Replaced with values computed from inputs</t>
  </si>
  <si>
    <t>Yes (TC-015)</t>
  </si>
  <si>
    <t>Invalid 0.25 g showed rounded '0.3 g' preview</t>
  </si>
  <si>
    <t>Preview formatted a value that failed validation</t>
  </si>
  <si>
    <t>Hide preview on step error</t>
  </si>
  <si>
    <t>Yes (TC-057)</t>
  </si>
  <si>
    <t>DEF-11</t>
  </si>
  <si>
    <t>Gram formats inconsistent (0.50 g vs 1.1000 g)</t>
  </si>
  <si>
    <t>Different decimals per screen</t>
  </si>
  <si>
    <t>Shared gramsTrim formatter</t>
  </si>
  <si>
    <t>DEF-12</t>
  </si>
  <si>
    <t>Demo gold price (~5,526) far from the real Egypt price (~7,223)</t>
  </si>
  <si>
    <t>Invented anchor price</t>
  </si>
  <si>
    <t>Real 24k Egypt prices used</t>
  </si>
  <si>
    <t>Yes (TC-047)</t>
  </si>
  <si>
    <t>Calendar cell rounded values over 100 (+116 vs +115.59)</t>
  </si>
  <si>
    <t>Compact formatter dropped decimals</t>
  </si>
  <si>
    <t>Two decimals up to 999.99</t>
  </si>
  <si>
    <t>Yes (TC-058)</t>
  </si>
  <si>
    <t>Date</t>
  </si>
  <si>
    <t>Requester</t>
  </si>
  <si>
    <t>Impact</t>
  </si>
  <si>
    <t>DEC-1</t>
  </si>
  <si>
    <t>2026-09-21</t>
  </si>
  <si>
    <t>Funding = Aman prepaid card balance topped up via InstaPay</t>
  </si>
  <si>
    <t>Phase 1 decision</t>
  </si>
  <si>
    <t>Removes gateway cost; external cards out of MVP</t>
  </si>
  <si>
    <t>Implemented</t>
  </si>
  <si>
    <t>DEC-2</t>
  </si>
  <si>
    <t>Pricing = spread only, 0.5% per side</t>
  </si>
  <si>
    <t>Matches business case</t>
  </si>
  <si>
    <t>DEC-3</t>
  </si>
  <si>
    <t>English first, Arabic RTL later</t>
  </si>
  <si>
    <t>Bilingual strings deferred</t>
  </si>
  <si>
    <t>DEC-4</t>
  </si>
  <si>
    <t>Customer prototype only; business case presented separately</t>
  </si>
  <si>
    <t>Lab stays a separate app</t>
  </si>
  <si>
    <t>CR-BC-01</t>
  </si>
  <si>
    <t>Purchases via prepaid balance, no gateway; InstaPay top-up free</t>
  </si>
  <si>
    <t>Zero gateway and top-up cost</t>
  </si>
  <si>
    <t>Unit margin -0.5% to +0.5%; decision DO NOT PROCEED to VALIDATE FURTHER</t>
  </si>
  <si>
    <t>CR-BC-02</t>
  </si>
  <si>
    <t>Provider handles regulation; no outside certificates</t>
  </si>
  <si>
    <t>Regulatory risk from critical to high, written confirmation gate</t>
  </si>
  <si>
    <t>Risk register and decision reworked</t>
  </si>
  <si>
    <t>CR-BC-03</t>
  </si>
  <si>
    <t>CAC 250 EGP, then confirmed 10 EGP</t>
  </si>
  <si>
    <t>Replaced US benchmark</t>
  </si>
  <si>
    <t>LTV/CAC 0.26 to 6.5; decision to PROCEED WITH CONDITIONS</t>
  </si>
  <si>
    <t>CR-BC-04</t>
  </si>
  <si>
    <t>MVP and run team in-house, no additional cash cost</t>
  </si>
  <si>
    <t>Cash share 0%; opportunity cost shown separately</t>
  </si>
  <si>
    <t>Investment lines changed</t>
  </si>
  <si>
    <t>CR-BC-05</t>
  </si>
  <si>
    <t>Prepaid card live in under a month</t>
  </si>
  <si>
    <t>Card risk from critical to high, not a blocker</t>
  </si>
  <si>
    <t>Risk and decision text</t>
  </si>
  <si>
    <t>CR-01</t>
  </si>
  <si>
    <t>Use today's real gold price in Egypt as the example</t>
  </si>
  <si>
    <t>Anchor ~EGP 7,223/g (24k)</t>
  </si>
  <si>
    <t>Price service, seed, copy</t>
  </si>
  <si>
    <t>Minimum and step 0.1 g; no pooled model (mngm sells fractional)</t>
  </si>
  <si>
    <t>Quantities in 0.1 g steps for buy and sell</t>
  </si>
  <si>
    <t>Engine, validation, UI, docs</t>
  </si>
  <si>
    <t>2026-09-22</t>
  </si>
  <si>
    <t>Use Aman colour codes (#04768D to #64C2D3)</t>
  </si>
  <si>
    <t>Palette and gradient</t>
  </si>
  <si>
    <t>CSS tokens, hero cards</t>
  </si>
  <si>
    <t>Portfolio P&amp;L section like the reference; click opens daily calendar</t>
  </si>
  <si>
    <t>Balance card, today's row, allocation donut, calendar</t>
  </si>
  <si>
    <t>New DailyPnl screen, portfolio redesign</t>
  </si>
  <si>
    <t>Replace demo customer data with real Sept prices and win/loss days</t>
  </si>
  <si>
    <t>20 transactions on 24 Aug-21 Sep prices</t>
  </si>
  <si>
    <t>Seed, price history</t>
  </si>
  <si>
    <t>Remove invested vs current; add cumulative P&amp;L chart matching the calendar</t>
  </si>
  <si>
    <t>30-day cumulative realized chart</t>
  </si>
  <si>
    <t>Portfolio, chart component</t>
  </si>
  <si>
    <t>Calendar shows realized only, no tabs; today's cell is dynamic</t>
  </si>
  <si>
    <t>Realized-only daily P&amp;L</t>
  </si>
  <si>
    <t>pnl service, DailyPnl screen</t>
  </si>
  <si>
    <t>Add a new-customer onboarding flow (nothing on file) and a prototype control to switch between new and existing customers</t>
  </si>
  <si>
    <t>Full capture: mobile, code, PIN, details, ID, selfie, prepaid card and top-up, agreements. Control gets 3 scenarios</t>
  </si>
  <si>
    <t>Onboarding, store, controls, design canvas, tickets, tests</t>
  </si>
  <si>
    <t>CR-08</t>
  </si>
  <si>
    <t>P&amp;L card should be a daily snapshot / clarified</t>
  </si>
  <si>
    <t>Periods labelled today / month / since first trade</t>
  </si>
  <si>
    <t>Portfolio card</t>
  </si>
  <si>
    <t>Superseded by CR-09</t>
  </si>
  <si>
    <t>CR-09</t>
  </si>
  <si>
    <t>Remove the Profit and loss card to keep it simple</t>
  </si>
  <si>
    <t>Card removed; details card trimmed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</si>
</sst>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4768D"/>
      <sz val="16"/>
    </font>
    <font>
      <b/>
      <color rgb="FFB45309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04768D"/>
      </patternFill>
    </fill>
    <fill>
      <patternFill patternType="solid">
        <fgColor rgb="FFE4F4F7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6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2" borderId="0" xfId="0" applyFont="1" applyFill="1"/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4" fillId="3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44" customWidth="1"/>
    <col min="2" max="2" width="22" customWidth="1"/>
    <col min="3" max="3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3" x14ac:dyDescent="0.25">
      <c r="A4" s="2" t="s">
        <v>2</v>
      </c>
      <c r="B4" t="s">
        <v>3</v>
      </c>
      <c r="C4" s="3" t="s">
        <v>4</v>
      </c>
    </row>
    <row r="5" spans="1:3" x14ac:dyDescent="0.25">
      <c r="A5" s="2" t="s">
        <v>2</v>
      </c>
      <c r="B5" t="s">
        <v>3</v>
      </c>
      <c r="C5" s="3" t="s">
        <v>5</v>
      </c>
    </row>
    <row r="6" spans="1:3" x14ac:dyDescent="0.25">
      <c r="A6" s="2" t="s">
        <v>2</v>
      </c>
      <c r="B6" t="s">
        <v>3</v>
      </c>
      <c r="C6" s="3" t="s">
        <v>6</v>
      </c>
    </row>
    <row r="7" spans="1:3" x14ac:dyDescent="0.25">
      <c r="A7" s="2" t="s">
        <v>2</v>
      </c>
      <c r="B7" t="s">
        <v>3</v>
      </c>
      <c r="C7" s="3" t="s">
        <v>7</v>
      </c>
    </row>
    <row r="9" spans="1:3" s="4" customFormat="1" x14ac:dyDescent="0.25">
      <c r="A9" s="5" t="s">
        <v>8</v>
      </c>
      <c r="B9" s="5" t="s">
        <v>9</v>
      </c>
      <c r="C9" s="5" t="s">
        <v>10</v>
      </c>
    </row>
    <row r="10" spans="1:3" x14ac:dyDescent="0.25">
      <c r="A10" t="s">
        <v>11</v>
      </c>
      <c r="B10" t="s">
        <v>12</v>
      </c>
      <c r="C10" t="s">
        <v>13</v>
      </c>
    </row>
    <row r="11" spans="1:3" x14ac:dyDescent="0.25">
      <c r="A11" t="s">
        <v>14</v>
      </c>
      <c r="B11">
        <v>108</v>
      </c>
      <c r="C11" t="s">
        <v>15</v>
      </c>
    </row>
    <row r="12" spans="1:3" x14ac:dyDescent="0.25">
      <c r="A12" t="s">
        <v>16</v>
      </c>
      <c r="B12" t="s">
        <v>17</v>
      </c>
      <c r="C12" t="s">
        <v>18</v>
      </c>
    </row>
    <row r="13" spans="1:3" x14ac:dyDescent="0.25">
      <c r="A13" t="s">
        <v>19</v>
      </c>
      <c r="B13">
        <f>COUNTA('Test Cases'!A:A)-1</f>
        <v>70</v>
      </c>
      <c r="C13" t="s">
        <v>20</v>
      </c>
    </row>
    <row r="14" spans="1:3" x14ac:dyDescent="0.25">
      <c r="A14" t="s">
        <v>21</v>
      </c>
      <c r="B14">
        <f>COUNTIF('Test Cases'!H:H,"Pass")</f>
        <v>45</v>
      </c>
      <c r="C14" t="s">
        <v>22</v>
      </c>
    </row>
    <row r="15" spans="1:3" x14ac:dyDescent="0.25">
      <c r="A15" t="s">
        <v>23</v>
      </c>
      <c r="B15">
        <f>COUNTIF('Test Cases'!H:H,"Fail -&gt; Fixed")</f>
        <v>7</v>
      </c>
      <c r="C15" t="s">
        <v>24</v>
      </c>
    </row>
    <row r="16" spans="1:3" x14ac:dyDescent="0.25">
      <c r="A16" t="s">
        <v>25</v>
      </c>
      <c r="B16">
        <f>COUNTIF('Test Cases'!H:H,"Not executed")</f>
        <v>18</v>
      </c>
      <c r="C16" t="s">
        <v>26</v>
      </c>
    </row>
    <row r="17" spans="1:3" x14ac:dyDescent="0.25">
      <c r="A17" t="s">
        <v>27</v>
      </c>
      <c r="B17">
        <f>COUNTA(Defects!A:A)-1</f>
        <v>13</v>
      </c>
      <c r="C17" t="s">
        <v>28</v>
      </c>
    </row>
    <row r="18" spans="1:3" x14ac:dyDescent="0.25">
      <c r="A18" t="s">
        <v>29</v>
      </c>
      <c r="B18">
        <f>COUNTA('Change Requests'!A:A)-1</f>
        <v>19</v>
      </c>
      <c r="C18" t="s">
        <v>30</v>
      </c>
    </row>
    <row r="19" spans="1:3" x14ac:dyDescent="0.25">
      <c r="A19" t="s">
        <v>31</v>
      </c>
      <c r="B19" t="s">
        <v>32</v>
      </c>
      <c r="C19" t="s">
        <v>33</v>
      </c>
    </row>
    <row r="20" spans="1:3" x14ac:dyDescent="0.25">
      <c r="A20" t="s">
        <v>34</v>
      </c>
      <c r="B20" t="s">
        <v>35</v>
      </c>
      <c r="C20" t="s">
        <v>36</v>
      </c>
    </row>
    <row r="21" spans="1:3" x14ac:dyDescent="0.25">
      <c r="A21" t="s">
        <v>37</v>
      </c>
      <c r="B21" t="s">
        <v>38</v>
      </c>
      <c r="C21" t="s">
        <v>39</v>
      </c>
    </row>
    <row r="22" spans="1:3" x14ac:dyDescent="0.25">
      <c r="A22" t="s">
        <v>40</v>
      </c>
      <c r="B22" t="s">
        <v>41</v>
      </c>
      <c r="C2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4" width="18" customWidth="1"/>
    <col min="5" max="5" width="80" customWidth="1"/>
    <col min="6" max="6" width="22" customWidth="1"/>
  </cols>
  <sheetData>
    <row r="1" ht="26" customHeight="1" spans="1:6" s="6" customFormat="1" x14ac:dyDescent="0.25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</row>
    <row r="2" spans="1:6" s="8" customFormat="1" x14ac:dyDescent="0.25">
      <c r="A2" s="9" t="s">
        <v>49</v>
      </c>
      <c r="B2" s="9" t="s">
        <v>50</v>
      </c>
      <c r="C2" s="9" t="s">
        <v>51</v>
      </c>
      <c r="D2" s="9" t="s">
        <v>52</v>
      </c>
      <c r="E2" s="9" t="s">
        <v>53</v>
      </c>
      <c r="F2" s="9" t="s">
        <v>54</v>
      </c>
    </row>
    <row r="3" spans="1:6" s="8" customFormat="1" x14ac:dyDescent="0.25">
      <c r="A3" s="9" t="s">
        <v>55</v>
      </c>
      <c r="B3" s="9" t="s">
        <v>56</v>
      </c>
      <c r="C3" s="9" t="s">
        <v>57</v>
      </c>
      <c r="D3" s="9" t="s">
        <v>58</v>
      </c>
      <c r="E3" s="9" t="s">
        <v>59</v>
      </c>
      <c r="F3" s="9" t="s">
        <v>60</v>
      </c>
    </row>
    <row r="4" spans="1:6" s="8" customFormat="1" x14ac:dyDescent="0.25">
      <c r="A4" s="9" t="s">
        <v>61</v>
      </c>
      <c r="B4" s="9" t="s">
        <v>62</v>
      </c>
      <c r="C4" s="9" t="s">
        <v>63</v>
      </c>
      <c r="D4" s="9" t="s">
        <v>64</v>
      </c>
      <c r="E4" s="9" t="s">
        <v>65</v>
      </c>
      <c r="F4" s="9" t="s">
        <v>66</v>
      </c>
    </row>
    <row r="5" spans="1:6" s="8" customFormat="1" x14ac:dyDescent="0.25">
      <c r="A5" s="9" t="s">
        <v>67</v>
      </c>
      <c r="B5" s="9" t="s">
        <v>63</v>
      </c>
      <c r="C5" s="9" t="s">
        <v>68</v>
      </c>
      <c r="D5" s="9" t="s">
        <v>69</v>
      </c>
      <c r="E5" s="9" t="s">
        <v>70</v>
      </c>
      <c r="F5" s="9" t="s">
        <v>54</v>
      </c>
    </row>
    <row r="6" spans="1:6" s="8" customFormat="1" x14ac:dyDescent="0.25">
      <c r="A6" s="9" t="s">
        <v>71</v>
      </c>
      <c r="B6" s="9" t="s">
        <v>68</v>
      </c>
      <c r="C6" s="9" t="s">
        <v>72</v>
      </c>
      <c r="D6" s="9" t="s">
        <v>73</v>
      </c>
      <c r="E6" s="9" t="s">
        <v>74</v>
      </c>
      <c r="F6" s="9" t="s">
        <v>60</v>
      </c>
    </row>
    <row r="7" spans="1:6" s="8" customFormat="1" x14ac:dyDescent="0.25">
      <c r="A7" s="9" t="s">
        <v>75</v>
      </c>
      <c r="B7" s="9" t="s">
        <v>72</v>
      </c>
      <c r="C7" s="9" t="s">
        <v>76</v>
      </c>
      <c r="D7" s="9" t="s">
        <v>77</v>
      </c>
      <c r="E7" s="9" t="s">
        <v>78</v>
      </c>
      <c r="F7" s="9" t="s">
        <v>60</v>
      </c>
    </row>
    <row r="8" spans="1:6" s="8" customFormat="1" x14ac:dyDescent="0.25">
      <c r="A8" s="9" t="s">
        <v>79</v>
      </c>
      <c r="B8" s="9" t="s">
        <v>76</v>
      </c>
      <c r="C8" s="9" t="s">
        <v>80</v>
      </c>
      <c r="D8" s="9" t="s">
        <v>81</v>
      </c>
      <c r="E8" s="9" t="s">
        <v>82</v>
      </c>
      <c r="F8" s="9" t="s">
        <v>60</v>
      </c>
    </row>
    <row r="9" spans="1:6" s="8" customFormat="1" x14ac:dyDescent="0.25">
      <c r="A9" s="9" t="s">
        <v>83</v>
      </c>
      <c r="B9" s="9" t="s">
        <v>80</v>
      </c>
      <c r="C9" s="9" t="s">
        <v>84</v>
      </c>
      <c r="D9" s="9" t="s">
        <v>85</v>
      </c>
      <c r="E9" s="9" t="s">
        <v>86</v>
      </c>
      <c r="F9" s="9" t="s">
        <v>60</v>
      </c>
    </row>
    <row r="10" spans="1:6" s="8" customFormat="1" x14ac:dyDescent="0.25">
      <c r="A10" s="9" t="s">
        <v>87</v>
      </c>
      <c r="B10" s="9" t="s">
        <v>88</v>
      </c>
      <c r="C10" s="9" t="s">
        <v>89</v>
      </c>
      <c r="D10" s="9" t="s">
        <v>90</v>
      </c>
      <c r="E10" s="9" t="s">
        <v>91</v>
      </c>
      <c r="F10" s="9" t="s">
        <v>92</v>
      </c>
    </row>
    <row r="11" spans="1:6" s="8" customFormat="1" x14ac:dyDescent="0.25">
      <c r="A11" s="9" t="s">
        <v>93</v>
      </c>
      <c r="B11" s="9" t="s">
        <v>89</v>
      </c>
      <c r="C11" s="9" t="s">
        <v>94</v>
      </c>
      <c r="D11" s="9" t="s">
        <v>95</v>
      </c>
      <c r="E11" s="9" t="s">
        <v>96</v>
      </c>
      <c r="F11" s="9" t="s">
        <v>92</v>
      </c>
    </row>
    <row r="12" spans="1:6" s="8" customFormat="1" x14ac:dyDescent="0.25">
      <c r="A12" s="9" t="s">
        <v>97</v>
      </c>
      <c r="B12" s="9" t="s">
        <v>84</v>
      </c>
      <c r="C12" s="9" t="s">
        <v>98</v>
      </c>
      <c r="D12" s="9" t="s">
        <v>99</v>
      </c>
      <c r="E12" s="9" t="s">
        <v>100</v>
      </c>
      <c r="F12" s="9" t="s">
        <v>60</v>
      </c>
    </row>
    <row r="14" spans="1:6" s="10" customFormat="1" x14ac:dyDescent="0.25">
      <c r="A14" s="10" t="s">
        <v>101</v>
      </c>
      <c r="B14" s="10" t="s">
        <v>102</v>
      </c>
      <c r="C14" s="10" t="s">
        <v>103</v>
      </c>
      <c r="D14" s="10" t="s">
        <v>104</v>
      </c>
      <c r="E14" s="10" t="s">
        <v>105</v>
      </c>
      <c r="F14" s="10" t="s">
        <v>3</v>
      </c>
    </row>
    <row r="15" spans="1:6" x14ac:dyDescent="0.25">
      <c r="A15" t="s">
        <v>106</v>
      </c>
      <c r="B15" t="s">
        <v>107</v>
      </c>
      <c r="C15">
        <v>30</v>
      </c>
      <c r="D15">
        <v>1600</v>
      </c>
      <c r="E15" t="s">
        <v>108</v>
      </c>
      <c r="F15" t="s">
        <v>3</v>
      </c>
    </row>
    <row r="16" spans="1:6" x14ac:dyDescent="0.25">
      <c r="A16" t="s">
        <v>109</v>
      </c>
      <c r="B16" t="s">
        <v>110</v>
      </c>
      <c r="C16">
        <v>36</v>
      </c>
      <c r="D16">
        <v>1846</v>
      </c>
      <c r="E16" t="s">
        <v>111</v>
      </c>
      <c r="F16" t="s">
        <v>3</v>
      </c>
    </row>
    <row r="17" spans="1:6" x14ac:dyDescent="0.25">
      <c r="A17" t="s">
        <v>112</v>
      </c>
      <c r="B17" t="s">
        <v>94</v>
      </c>
      <c r="C17">
        <v>1</v>
      </c>
      <c r="D17">
        <v>156</v>
      </c>
      <c r="E17" t="s">
        <v>113</v>
      </c>
      <c r="F17" t="s">
        <v>3</v>
      </c>
    </row>
    <row r="18" spans="1:6" x14ac:dyDescent="0.25">
      <c r="A18" t="s">
        <v>40</v>
      </c>
      <c r="B18" t="s">
        <v>114</v>
      </c>
      <c r="C18">
        <v>0</v>
      </c>
      <c r="D18">
        <v>0</v>
      </c>
      <c r="E18" t="s">
        <v>115</v>
      </c>
      <c r="F18" t="s">
        <v>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3" width="10" customWidth="1"/>
    <col min="4" max="5" width="62" customWidth="1"/>
    <col min="6" max="7" width="10" customWidth="1"/>
    <col min="8" max="8" width="34" customWidth="1"/>
    <col min="9" max="9" width="14" customWidth="1"/>
  </cols>
  <sheetData>
    <row r="1" ht="26" customHeight="1" spans="1:9" s="6" customFormat="1" x14ac:dyDescent="0.25">
      <c r="A1" s="7" t="s">
        <v>116</v>
      </c>
      <c r="B1" s="7" t="s">
        <v>117</v>
      </c>
      <c r="C1" s="7" t="s">
        <v>118</v>
      </c>
      <c r="D1" s="7" t="s">
        <v>119</v>
      </c>
      <c r="E1" s="7" t="s">
        <v>120</v>
      </c>
      <c r="F1" s="7" t="s">
        <v>121</v>
      </c>
      <c r="G1" s="7" t="s">
        <v>122</v>
      </c>
      <c r="H1" s="7" t="s">
        <v>123</v>
      </c>
      <c r="I1" s="7" t="s">
        <v>124</v>
      </c>
    </row>
    <row r="2" spans="1:9" s="11" customFormat="1" x14ac:dyDescent="0.25">
      <c r="A2" s="12" t="s">
        <v>125</v>
      </c>
      <c r="B2" s="12" t="s">
        <v>126</v>
      </c>
      <c r="C2" s="12" t="s">
        <v>3</v>
      </c>
      <c r="D2" s="12" t="s">
        <v>127</v>
      </c>
      <c r="E2" s="12" t="s">
        <v>128</v>
      </c>
      <c r="F2" s="12" t="s">
        <v>3</v>
      </c>
      <c r="G2" s="12" t="s">
        <v>129</v>
      </c>
      <c r="H2" s="12" t="s">
        <v>130</v>
      </c>
      <c r="I2" s="12" t="s">
        <v>131</v>
      </c>
    </row>
    <row r="3" spans="1:9" s="8" customFormat="1" x14ac:dyDescent="0.25">
      <c r="A3" s="9" t="s">
        <v>132</v>
      </c>
      <c r="B3" s="9" t="s">
        <v>133</v>
      </c>
      <c r="C3" s="9" t="s">
        <v>126</v>
      </c>
      <c r="D3" s="9" t="s">
        <v>134</v>
      </c>
      <c r="E3" s="9" t="s">
        <v>135</v>
      </c>
      <c r="F3" s="9">
        <v>5</v>
      </c>
      <c r="G3" s="9" t="s">
        <v>129</v>
      </c>
      <c r="H3" s="9" t="s">
        <v>130</v>
      </c>
      <c r="I3" s="9" t="s">
        <v>136</v>
      </c>
    </row>
    <row r="4" spans="1:9" s="8" customFormat="1" x14ac:dyDescent="0.25">
      <c r="A4" s="9" t="s">
        <v>137</v>
      </c>
      <c r="B4" s="9" t="s">
        <v>138</v>
      </c>
      <c r="C4" s="9" t="s">
        <v>133</v>
      </c>
      <c r="D4" s="9" t="s">
        <v>139</v>
      </c>
      <c r="E4" s="9" t="s">
        <v>140</v>
      </c>
      <c r="F4" s="9">
        <v>1</v>
      </c>
      <c r="G4" s="9" t="s">
        <v>129</v>
      </c>
      <c r="H4" s="9" t="s">
        <v>130</v>
      </c>
      <c r="I4" s="9" t="s">
        <v>136</v>
      </c>
    </row>
    <row r="5" spans="1:9" s="8" customFormat="1" x14ac:dyDescent="0.25">
      <c r="A5" s="9" t="s">
        <v>137</v>
      </c>
      <c r="B5" s="9" t="s">
        <v>141</v>
      </c>
      <c r="C5" s="9" t="s">
        <v>133</v>
      </c>
      <c r="D5" s="9" t="s">
        <v>142</v>
      </c>
      <c r="E5" s="9" t="s">
        <v>143</v>
      </c>
      <c r="F5" s="9">
        <v>2</v>
      </c>
      <c r="G5" s="9" t="s">
        <v>129</v>
      </c>
      <c r="H5" s="9" t="s">
        <v>130</v>
      </c>
      <c r="I5" s="9" t="s">
        <v>136</v>
      </c>
    </row>
    <row r="6" spans="1:9" s="8" customFormat="1" x14ac:dyDescent="0.25">
      <c r="A6" s="9" t="s">
        <v>137</v>
      </c>
      <c r="B6" s="9" t="s">
        <v>144</v>
      </c>
      <c r="C6" s="9" t="s">
        <v>133</v>
      </c>
      <c r="D6" s="9" t="s">
        <v>145</v>
      </c>
      <c r="E6" s="9" t="s">
        <v>146</v>
      </c>
      <c r="F6" s="9">
        <v>2</v>
      </c>
      <c r="G6" s="9" t="s">
        <v>129</v>
      </c>
      <c r="H6" s="9" t="s">
        <v>130</v>
      </c>
      <c r="I6" s="9" t="s">
        <v>136</v>
      </c>
    </row>
    <row r="7" spans="1:9" s="8" customFormat="1" x14ac:dyDescent="0.25">
      <c r="A7" s="9" t="s">
        <v>132</v>
      </c>
      <c r="B7" s="9" t="s">
        <v>147</v>
      </c>
      <c r="C7" s="9" t="s">
        <v>126</v>
      </c>
      <c r="D7" s="9" t="s">
        <v>148</v>
      </c>
      <c r="E7" s="9" t="s">
        <v>149</v>
      </c>
      <c r="F7" s="9">
        <v>8</v>
      </c>
      <c r="G7" s="9" t="s">
        <v>129</v>
      </c>
      <c r="H7" s="9" t="s">
        <v>130</v>
      </c>
      <c r="I7" s="9" t="s">
        <v>136</v>
      </c>
    </row>
    <row r="8" spans="1:9" s="8" customFormat="1" x14ac:dyDescent="0.25">
      <c r="A8" s="9" t="s">
        <v>137</v>
      </c>
      <c r="B8" s="9" t="s">
        <v>150</v>
      </c>
      <c r="C8" s="9" t="s">
        <v>147</v>
      </c>
      <c r="D8" s="9" t="s">
        <v>151</v>
      </c>
      <c r="E8" s="9" t="s">
        <v>152</v>
      </c>
      <c r="F8" s="9">
        <v>3</v>
      </c>
      <c r="G8" s="9" t="s">
        <v>129</v>
      </c>
      <c r="H8" s="9" t="s">
        <v>130</v>
      </c>
      <c r="I8" s="9" t="s">
        <v>136</v>
      </c>
    </row>
    <row r="9" spans="1:9" s="8" customFormat="1" x14ac:dyDescent="0.25">
      <c r="A9" s="9" t="s">
        <v>137</v>
      </c>
      <c r="B9" s="9" t="s">
        <v>153</v>
      </c>
      <c r="C9" s="9" t="s">
        <v>147</v>
      </c>
      <c r="D9" s="9" t="s">
        <v>154</v>
      </c>
      <c r="E9" s="9" t="s">
        <v>3</v>
      </c>
      <c r="F9" s="9">
        <v>1</v>
      </c>
      <c r="G9" s="9" t="s">
        <v>129</v>
      </c>
      <c r="H9" s="9" t="s">
        <v>130</v>
      </c>
      <c r="I9" s="9" t="s">
        <v>136</v>
      </c>
    </row>
    <row r="10" spans="1:9" s="8" customFormat="1" x14ac:dyDescent="0.25">
      <c r="A10" s="9" t="s">
        <v>137</v>
      </c>
      <c r="B10" s="9" t="s">
        <v>155</v>
      </c>
      <c r="C10" s="9" t="s">
        <v>147</v>
      </c>
      <c r="D10" s="9" t="s">
        <v>156</v>
      </c>
      <c r="E10" s="9" t="s">
        <v>3</v>
      </c>
      <c r="F10" s="9">
        <v>3</v>
      </c>
      <c r="G10" s="9" t="s">
        <v>129</v>
      </c>
      <c r="H10" s="9" t="s">
        <v>130</v>
      </c>
      <c r="I10" s="9" t="s">
        <v>136</v>
      </c>
    </row>
    <row r="11" spans="1:9" s="8" customFormat="1" x14ac:dyDescent="0.25">
      <c r="A11" s="9" t="s">
        <v>137</v>
      </c>
      <c r="B11" s="9" t="s">
        <v>157</v>
      </c>
      <c r="C11" s="9" t="s">
        <v>147</v>
      </c>
      <c r="D11" s="9" t="s">
        <v>158</v>
      </c>
      <c r="E11" s="9" t="s">
        <v>159</v>
      </c>
      <c r="F11" s="9">
        <v>1</v>
      </c>
      <c r="G11" s="9" t="s">
        <v>129</v>
      </c>
      <c r="H11" s="9" t="s">
        <v>130</v>
      </c>
      <c r="I11" s="9" t="s">
        <v>136</v>
      </c>
    </row>
    <row r="12" spans="1:9" s="8" customFormat="1" x14ac:dyDescent="0.25">
      <c r="A12" s="9" t="s">
        <v>132</v>
      </c>
      <c r="B12" s="9" t="s">
        <v>160</v>
      </c>
      <c r="C12" s="9" t="s">
        <v>126</v>
      </c>
      <c r="D12" s="9" t="s">
        <v>161</v>
      </c>
      <c r="E12" s="9" t="s">
        <v>162</v>
      </c>
      <c r="F12" s="9">
        <v>5</v>
      </c>
      <c r="G12" s="9" t="s">
        <v>129</v>
      </c>
      <c r="H12" s="9" t="s">
        <v>130</v>
      </c>
      <c r="I12" s="9" t="s">
        <v>136</v>
      </c>
    </row>
    <row r="13" spans="1:9" s="8" customFormat="1" x14ac:dyDescent="0.25">
      <c r="A13" s="9" t="s">
        <v>137</v>
      </c>
      <c r="B13" s="9" t="s">
        <v>163</v>
      </c>
      <c r="C13" s="9" t="s">
        <v>160</v>
      </c>
      <c r="D13" s="9" t="s">
        <v>164</v>
      </c>
      <c r="E13" s="9" t="s">
        <v>165</v>
      </c>
      <c r="F13" s="9">
        <v>3</v>
      </c>
      <c r="G13" s="9" t="s">
        <v>129</v>
      </c>
      <c r="H13" s="9" t="s">
        <v>130</v>
      </c>
      <c r="I13" s="9" t="s">
        <v>166</v>
      </c>
    </row>
    <row r="14" spans="1:9" s="8" customFormat="1" x14ac:dyDescent="0.25">
      <c r="A14" s="9" t="s">
        <v>137</v>
      </c>
      <c r="B14" s="9" t="s">
        <v>167</v>
      </c>
      <c r="C14" s="9" t="s">
        <v>160</v>
      </c>
      <c r="D14" s="9" t="s">
        <v>168</v>
      </c>
      <c r="E14" s="9" t="s">
        <v>3</v>
      </c>
      <c r="F14" s="9">
        <v>2</v>
      </c>
      <c r="G14" s="9" t="s">
        <v>129</v>
      </c>
      <c r="H14" s="9" t="s">
        <v>130</v>
      </c>
      <c r="I14" s="9" t="s">
        <v>166</v>
      </c>
    </row>
    <row r="15" spans="1:9" s="8" customFormat="1" x14ac:dyDescent="0.25">
      <c r="A15" s="9" t="s">
        <v>132</v>
      </c>
      <c r="B15" s="9" t="s">
        <v>169</v>
      </c>
      <c r="C15" s="9" t="s">
        <v>126</v>
      </c>
      <c r="D15" s="9" t="s">
        <v>170</v>
      </c>
      <c r="E15" s="9" t="s">
        <v>171</v>
      </c>
      <c r="F15" s="9">
        <v>13</v>
      </c>
      <c r="G15" s="9" t="s">
        <v>129</v>
      </c>
      <c r="H15" s="9" t="s">
        <v>130</v>
      </c>
      <c r="I15" s="9" t="s">
        <v>136</v>
      </c>
    </row>
    <row r="16" spans="1:9" s="8" customFormat="1" x14ac:dyDescent="0.25">
      <c r="A16" s="9" t="s">
        <v>137</v>
      </c>
      <c r="B16" s="9" t="s">
        <v>172</v>
      </c>
      <c r="C16" s="9" t="s">
        <v>169</v>
      </c>
      <c r="D16" s="9" t="s">
        <v>173</v>
      </c>
      <c r="E16" s="9" t="s">
        <v>3</v>
      </c>
      <c r="F16" s="9">
        <v>5</v>
      </c>
      <c r="G16" s="9" t="s">
        <v>129</v>
      </c>
      <c r="H16" s="9" t="s">
        <v>130</v>
      </c>
      <c r="I16" s="9" t="s">
        <v>136</v>
      </c>
    </row>
    <row r="17" spans="1:9" s="8" customFormat="1" x14ac:dyDescent="0.25">
      <c r="A17" s="9" t="s">
        <v>137</v>
      </c>
      <c r="B17" s="9" t="s">
        <v>174</v>
      </c>
      <c r="C17" s="9" t="s">
        <v>169</v>
      </c>
      <c r="D17" s="9" t="s">
        <v>175</v>
      </c>
      <c r="E17" s="9" t="s">
        <v>3</v>
      </c>
      <c r="F17" s="9">
        <v>5</v>
      </c>
      <c r="G17" s="9" t="s">
        <v>129</v>
      </c>
      <c r="H17" s="9" t="s">
        <v>130</v>
      </c>
      <c r="I17" s="9" t="s">
        <v>136</v>
      </c>
    </row>
    <row r="18" spans="1:9" s="8" customFormat="1" x14ac:dyDescent="0.25">
      <c r="A18" s="9" t="s">
        <v>137</v>
      </c>
      <c r="B18" s="9" t="s">
        <v>176</v>
      </c>
      <c r="C18" s="9" t="s">
        <v>169</v>
      </c>
      <c r="D18" s="9" t="s">
        <v>177</v>
      </c>
      <c r="E18" s="9" t="s">
        <v>3</v>
      </c>
      <c r="F18" s="9">
        <v>3</v>
      </c>
      <c r="G18" s="9" t="s">
        <v>129</v>
      </c>
      <c r="H18" s="9" t="s">
        <v>130</v>
      </c>
      <c r="I18" s="9" t="s">
        <v>136</v>
      </c>
    </row>
    <row r="19" spans="1:9" s="8" customFormat="1" x14ac:dyDescent="0.25">
      <c r="A19" s="9" t="s">
        <v>132</v>
      </c>
      <c r="B19" s="9" t="s">
        <v>178</v>
      </c>
      <c r="C19" s="9" t="s">
        <v>126</v>
      </c>
      <c r="D19" s="9" t="s">
        <v>179</v>
      </c>
      <c r="E19" s="9" t="s">
        <v>180</v>
      </c>
      <c r="F19" s="9">
        <v>5</v>
      </c>
      <c r="G19" s="9" t="s">
        <v>129</v>
      </c>
      <c r="H19" s="9" t="s">
        <v>130</v>
      </c>
      <c r="I19" s="9" t="s">
        <v>136</v>
      </c>
    </row>
    <row r="20" spans="1:9" s="8" customFormat="1" x14ac:dyDescent="0.25">
      <c r="A20" s="9" t="s">
        <v>137</v>
      </c>
      <c r="B20" s="9" t="s">
        <v>181</v>
      </c>
      <c r="C20" s="9" t="s">
        <v>178</v>
      </c>
      <c r="D20" s="9" t="s">
        <v>182</v>
      </c>
      <c r="E20" s="9" t="s">
        <v>3</v>
      </c>
      <c r="F20" s="9">
        <v>3</v>
      </c>
      <c r="G20" s="9" t="s">
        <v>129</v>
      </c>
      <c r="H20" s="9" t="s">
        <v>130</v>
      </c>
      <c r="I20" s="9" t="s">
        <v>136</v>
      </c>
    </row>
    <row r="21" spans="1:9" s="8" customFormat="1" x14ac:dyDescent="0.25">
      <c r="A21" s="9" t="s">
        <v>137</v>
      </c>
      <c r="B21" s="9" t="s">
        <v>183</v>
      </c>
      <c r="C21" s="9" t="s">
        <v>178</v>
      </c>
      <c r="D21" s="9" t="s">
        <v>184</v>
      </c>
      <c r="E21" s="9" t="s">
        <v>185</v>
      </c>
      <c r="F21" s="9">
        <v>2</v>
      </c>
      <c r="G21" s="9" t="s">
        <v>129</v>
      </c>
      <c r="H21" s="9" t="s">
        <v>130</v>
      </c>
      <c r="I21" s="9" t="s">
        <v>136</v>
      </c>
    </row>
    <row r="22" spans="1:9" s="11" customFormat="1" x14ac:dyDescent="0.25">
      <c r="A22" s="12" t="s">
        <v>125</v>
      </c>
      <c r="B22" s="12" t="s">
        <v>186</v>
      </c>
      <c r="C22" s="12" t="s">
        <v>3</v>
      </c>
      <c r="D22" s="12" t="s">
        <v>187</v>
      </c>
      <c r="E22" s="12" t="s">
        <v>188</v>
      </c>
      <c r="F22" s="12" t="s">
        <v>3</v>
      </c>
      <c r="G22" s="12" t="s">
        <v>129</v>
      </c>
      <c r="H22" s="12" t="s">
        <v>189</v>
      </c>
      <c r="I22" s="12" t="s">
        <v>190</v>
      </c>
    </row>
    <row r="23" spans="1:9" s="8" customFormat="1" x14ac:dyDescent="0.25">
      <c r="A23" s="9" t="s">
        <v>132</v>
      </c>
      <c r="B23" s="9" t="s">
        <v>191</v>
      </c>
      <c r="C23" s="9" t="s">
        <v>186</v>
      </c>
      <c r="D23" s="9" t="s">
        <v>192</v>
      </c>
      <c r="E23" s="9" t="s">
        <v>193</v>
      </c>
      <c r="F23" s="9">
        <v>3</v>
      </c>
      <c r="G23" s="9" t="s">
        <v>129</v>
      </c>
      <c r="H23" s="9" t="s">
        <v>189</v>
      </c>
      <c r="I23" s="9" t="s">
        <v>190</v>
      </c>
    </row>
    <row r="24" spans="1:9" s="8" customFormat="1" x14ac:dyDescent="0.25">
      <c r="A24" s="9" t="s">
        <v>132</v>
      </c>
      <c r="B24" s="9" t="s">
        <v>194</v>
      </c>
      <c r="C24" s="9" t="s">
        <v>186</v>
      </c>
      <c r="D24" s="9" t="s">
        <v>195</v>
      </c>
      <c r="E24" s="9" t="s">
        <v>196</v>
      </c>
      <c r="F24" s="9">
        <v>5</v>
      </c>
      <c r="G24" s="9" t="s">
        <v>129</v>
      </c>
      <c r="H24" s="9" t="s">
        <v>189</v>
      </c>
      <c r="I24" s="9" t="s">
        <v>190</v>
      </c>
    </row>
    <row r="25" spans="1:9" s="11" customFormat="1" x14ac:dyDescent="0.25">
      <c r="A25" s="12" t="s">
        <v>125</v>
      </c>
      <c r="B25" s="12" t="s">
        <v>197</v>
      </c>
      <c r="C25" s="12" t="s">
        <v>3</v>
      </c>
      <c r="D25" s="12" t="s">
        <v>198</v>
      </c>
      <c r="E25" s="12" t="s">
        <v>199</v>
      </c>
      <c r="F25" s="12" t="s">
        <v>3</v>
      </c>
      <c r="G25" s="12" t="s">
        <v>129</v>
      </c>
      <c r="H25" s="12" t="s">
        <v>189</v>
      </c>
      <c r="I25" s="12" t="s">
        <v>198</v>
      </c>
    </row>
    <row r="26" spans="1:9" s="8" customFormat="1" x14ac:dyDescent="0.25">
      <c r="A26" s="9" t="s">
        <v>132</v>
      </c>
      <c r="B26" s="9" t="s">
        <v>200</v>
      </c>
      <c r="C26" s="9" t="s">
        <v>197</v>
      </c>
      <c r="D26" s="9" t="s">
        <v>201</v>
      </c>
      <c r="E26" s="9" t="s">
        <v>202</v>
      </c>
      <c r="F26" s="9">
        <v>3</v>
      </c>
      <c r="G26" s="9" t="s">
        <v>129</v>
      </c>
      <c r="H26" s="9" t="s">
        <v>189</v>
      </c>
      <c r="I26" s="9" t="s">
        <v>198</v>
      </c>
    </row>
    <row r="27" spans="1:9" s="8" customFormat="1" x14ac:dyDescent="0.25">
      <c r="A27" s="9" t="s">
        <v>132</v>
      </c>
      <c r="B27" s="9" t="s">
        <v>203</v>
      </c>
      <c r="C27" s="9" t="s">
        <v>197</v>
      </c>
      <c r="D27" s="9" t="s">
        <v>204</v>
      </c>
      <c r="E27" s="9" t="s">
        <v>205</v>
      </c>
      <c r="F27" s="9">
        <v>1</v>
      </c>
      <c r="G27" s="9" t="s">
        <v>129</v>
      </c>
      <c r="H27" s="9" t="s">
        <v>189</v>
      </c>
      <c r="I27" s="9" t="s">
        <v>198</v>
      </c>
    </row>
    <row r="28" spans="1:9" s="11" customFormat="1" x14ac:dyDescent="0.25">
      <c r="A28" s="12" t="s">
        <v>125</v>
      </c>
      <c r="B28" s="12" t="s">
        <v>206</v>
      </c>
      <c r="C28" s="12" t="s">
        <v>3</v>
      </c>
      <c r="D28" s="12" t="s">
        <v>207</v>
      </c>
      <c r="E28" s="12" t="s">
        <v>208</v>
      </c>
      <c r="F28" s="12" t="s">
        <v>3</v>
      </c>
      <c r="G28" s="12" t="s">
        <v>129</v>
      </c>
      <c r="H28" s="12" t="s">
        <v>189</v>
      </c>
      <c r="I28" s="12" t="s">
        <v>209</v>
      </c>
    </row>
    <row r="29" spans="1:9" s="8" customFormat="1" x14ac:dyDescent="0.25">
      <c r="A29" s="9" t="s">
        <v>132</v>
      </c>
      <c r="B29" s="9" t="s">
        <v>210</v>
      </c>
      <c r="C29" s="9" t="s">
        <v>206</v>
      </c>
      <c r="D29" s="9" t="s">
        <v>211</v>
      </c>
      <c r="E29" s="9" t="s">
        <v>212</v>
      </c>
      <c r="F29" s="9">
        <v>8</v>
      </c>
      <c r="G29" s="9" t="s">
        <v>129</v>
      </c>
      <c r="H29" s="9" t="s">
        <v>189</v>
      </c>
      <c r="I29" s="9" t="s">
        <v>209</v>
      </c>
    </row>
    <row r="30" spans="1:9" s="8" customFormat="1" x14ac:dyDescent="0.25">
      <c r="A30" s="9" t="s">
        <v>137</v>
      </c>
      <c r="B30" s="9" t="s">
        <v>213</v>
      </c>
      <c r="C30" s="9" t="s">
        <v>210</v>
      </c>
      <c r="D30" s="9" t="s">
        <v>214</v>
      </c>
      <c r="E30" s="9" t="s">
        <v>3</v>
      </c>
      <c r="F30" s="9">
        <v>1</v>
      </c>
      <c r="G30" s="9" t="s">
        <v>129</v>
      </c>
      <c r="H30" s="9" t="s">
        <v>189</v>
      </c>
      <c r="I30" s="9" t="s">
        <v>209</v>
      </c>
    </row>
    <row r="31" spans="1:9" s="8" customFormat="1" x14ac:dyDescent="0.25">
      <c r="A31" s="9" t="s">
        <v>137</v>
      </c>
      <c r="B31" s="9" t="s">
        <v>215</v>
      </c>
      <c r="C31" s="9" t="s">
        <v>210</v>
      </c>
      <c r="D31" s="9" t="s">
        <v>216</v>
      </c>
      <c r="E31" s="9" t="s">
        <v>217</v>
      </c>
      <c r="F31" s="9">
        <v>2</v>
      </c>
      <c r="G31" s="9" t="s">
        <v>129</v>
      </c>
      <c r="H31" s="9" t="s">
        <v>189</v>
      </c>
      <c r="I31" s="9" t="s">
        <v>209</v>
      </c>
    </row>
    <row r="32" spans="1:9" s="8" customFormat="1" x14ac:dyDescent="0.25">
      <c r="A32" s="9" t="s">
        <v>137</v>
      </c>
      <c r="B32" s="9" t="s">
        <v>218</v>
      </c>
      <c r="C32" s="9" t="s">
        <v>210</v>
      </c>
      <c r="D32" s="9" t="s">
        <v>219</v>
      </c>
      <c r="E32" s="9" t="s">
        <v>3</v>
      </c>
      <c r="F32" s="9">
        <v>3</v>
      </c>
      <c r="G32" s="9" t="s">
        <v>129</v>
      </c>
      <c r="H32" s="9" t="s">
        <v>189</v>
      </c>
      <c r="I32" s="9" t="s">
        <v>209</v>
      </c>
    </row>
    <row r="33" spans="1:9" s="8" customFormat="1" x14ac:dyDescent="0.25">
      <c r="A33" s="9" t="s">
        <v>137</v>
      </c>
      <c r="B33" s="9" t="s">
        <v>220</v>
      </c>
      <c r="C33" s="9" t="s">
        <v>210</v>
      </c>
      <c r="D33" s="9" t="s">
        <v>221</v>
      </c>
      <c r="E33" s="9" t="s">
        <v>222</v>
      </c>
      <c r="F33" s="9">
        <v>2</v>
      </c>
      <c r="G33" s="9" t="s">
        <v>129</v>
      </c>
      <c r="H33" s="9" t="s">
        <v>189</v>
      </c>
      <c r="I33" s="9" t="s">
        <v>209</v>
      </c>
    </row>
    <row r="34" spans="1:9" s="8" customFormat="1" x14ac:dyDescent="0.25">
      <c r="A34" s="9" t="s">
        <v>132</v>
      </c>
      <c r="B34" s="9" t="s">
        <v>223</v>
      </c>
      <c r="C34" s="9" t="s">
        <v>206</v>
      </c>
      <c r="D34" s="9" t="s">
        <v>224</v>
      </c>
      <c r="E34" s="9" t="s">
        <v>225</v>
      </c>
      <c r="F34" s="9">
        <v>8</v>
      </c>
      <c r="G34" s="9" t="s">
        <v>129</v>
      </c>
      <c r="H34" s="9" t="s">
        <v>189</v>
      </c>
      <c r="I34" s="9" t="s">
        <v>209</v>
      </c>
    </row>
    <row r="35" spans="1:9" s="8" customFormat="1" x14ac:dyDescent="0.25">
      <c r="A35" s="9" t="s">
        <v>132</v>
      </c>
      <c r="B35" s="9" t="s">
        <v>226</v>
      </c>
      <c r="C35" s="9" t="s">
        <v>206</v>
      </c>
      <c r="D35" s="9" t="s">
        <v>227</v>
      </c>
      <c r="E35" s="9" t="s">
        <v>228</v>
      </c>
      <c r="F35" s="9">
        <v>5</v>
      </c>
      <c r="G35" s="9" t="s">
        <v>129</v>
      </c>
      <c r="H35" s="9" t="s">
        <v>189</v>
      </c>
      <c r="I35" s="9" t="s">
        <v>209</v>
      </c>
    </row>
    <row r="36" spans="1:9" s="8" customFormat="1" x14ac:dyDescent="0.25">
      <c r="A36" s="9" t="s">
        <v>132</v>
      </c>
      <c r="B36" s="9" t="s">
        <v>229</v>
      </c>
      <c r="C36" s="9" t="s">
        <v>206</v>
      </c>
      <c r="D36" s="9" t="s">
        <v>230</v>
      </c>
      <c r="E36" s="9" t="s">
        <v>231</v>
      </c>
      <c r="F36" s="9">
        <v>8</v>
      </c>
      <c r="G36" s="9" t="s">
        <v>129</v>
      </c>
      <c r="H36" s="9" t="s">
        <v>189</v>
      </c>
      <c r="I36" s="9" t="s">
        <v>209</v>
      </c>
    </row>
    <row r="37" spans="1:9" s="8" customFormat="1" x14ac:dyDescent="0.25">
      <c r="A37" s="9" t="s">
        <v>132</v>
      </c>
      <c r="B37" s="9" t="s">
        <v>232</v>
      </c>
      <c r="C37" s="9" t="s">
        <v>206</v>
      </c>
      <c r="D37" s="9" t="s">
        <v>233</v>
      </c>
      <c r="E37" s="9" t="s">
        <v>3</v>
      </c>
      <c r="F37" s="9">
        <v>5</v>
      </c>
      <c r="G37" s="9" t="s">
        <v>129</v>
      </c>
      <c r="H37" s="9" t="s">
        <v>189</v>
      </c>
      <c r="I37" s="9" t="s">
        <v>209</v>
      </c>
    </row>
    <row r="38" spans="1:9" s="8" customFormat="1" x14ac:dyDescent="0.25">
      <c r="A38" s="9" t="s">
        <v>132</v>
      </c>
      <c r="B38" s="9" t="s">
        <v>234</v>
      </c>
      <c r="C38" s="9" t="s">
        <v>206</v>
      </c>
      <c r="D38" s="9" t="s">
        <v>235</v>
      </c>
      <c r="E38" s="9" t="s">
        <v>236</v>
      </c>
      <c r="F38" s="9">
        <v>5</v>
      </c>
      <c r="G38" s="9" t="s">
        <v>129</v>
      </c>
      <c r="H38" s="9" t="s">
        <v>189</v>
      </c>
      <c r="I38" s="9" t="s">
        <v>209</v>
      </c>
    </row>
    <row r="39" spans="1:9" s="8" customFormat="1" x14ac:dyDescent="0.25">
      <c r="A39" s="9" t="s">
        <v>132</v>
      </c>
      <c r="B39" s="9" t="s">
        <v>237</v>
      </c>
      <c r="C39" s="9" t="s">
        <v>206</v>
      </c>
      <c r="D39" s="9" t="s">
        <v>238</v>
      </c>
      <c r="E39" s="9" t="s">
        <v>239</v>
      </c>
      <c r="F39" s="9">
        <v>5</v>
      </c>
      <c r="G39" s="9" t="s">
        <v>129</v>
      </c>
      <c r="H39" s="9" t="s">
        <v>189</v>
      </c>
      <c r="I39" s="9" t="s">
        <v>209</v>
      </c>
    </row>
    <row r="40" spans="1:9" s="8" customFormat="1" x14ac:dyDescent="0.25">
      <c r="A40" s="9" t="s">
        <v>132</v>
      </c>
      <c r="B40" s="9" t="s">
        <v>240</v>
      </c>
      <c r="C40" s="9" t="s">
        <v>206</v>
      </c>
      <c r="D40" s="9" t="s">
        <v>241</v>
      </c>
      <c r="E40" s="9" t="s">
        <v>3</v>
      </c>
      <c r="F40" s="9">
        <v>3</v>
      </c>
      <c r="G40" s="9" t="s">
        <v>129</v>
      </c>
      <c r="H40" s="9" t="s">
        <v>189</v>
      </c>
      <c r="I40" s="9" t="s">
        <v>209</v>
      </c>
    </row>
    <row r="41" spans="1:9" s="8" customFormat="1" x14ac:dyDescent="0.25">
      <c r="A41" s="9" t="s">
        <v>132</v>
      </c>
      <c r="B41" s="9" t="s">
        <v>242</v>
      </c>
      <c r="C41" s="9" t="s">
        <v>206</v>
      </c>
      <c r="D41" s="9" t="s">
        <v>243</v>
      </c>
      <c r="E41" s="9" t="s">
        <v>3</v>
      </c>
      <c r="F41" s="9">
        <v>2</v>
      </c>
      <c r="G41" s="9" t="s">
        <v>129</v>
      </c>
      <c r="H41" s="9" t="s">
        <v>189</v>
      </c>
      <c r="I41" s="9" t="s">
        <v>209</v>
      </c>
    </row>
    <row r="42" spans="1:9" s="8" customFormat="1" x14ac:dyDescent="0.25">
      <c r="A42" s="9" t="s">
        <v>132</v>
      </c>
      <c r="B42" s="9" t="s">
        <v>244</v>
      </c>
      <c r="C42" s="9" t="s">
        <v>206</v>
      </c>
      <c r="D42" s="9" t="s">
        <v>245</v>
      </c>
      <c r="E42" s="9" t="s">
        <v>246</v>
      </c>
      <c r="F42" s="9">
        <v>3</v>
      </c>
      <c r="G42" s="9" t="s">
        <v>129</v>
      </c>
      <c r="H42" s="9" t="s">
        <v>189</v>
      </c>
      <c r="I42" s="9" t="s">
        <v>209</v>
      </c>
    </row>
    <row r="43" spans="1:9" s="8" customFormat="1" x14ac:dyDescent="0.25">
      <c r="A43" s="9" t="s">
        <v>132</v>
      </c>
      <c r="B43" s="9" t="s">
        <v>247</v>
      </c>
      <c r="C43" s="9" t="s">
        <v>206</v>
      </c>
      <c r="D43" s="9" t="s">
        <v>248</v>
      </c>
      <c r="E43" s="9" t="s">
        <v>249</v>
      </c>
      <c r="F43" s="9">
        <v>5</v>
      </c>
      <c r="G43" s="9" t="s">
        <v>129</v>
      </c>
      <c r="H43" s="9" t="s">
        <v>189</v>
      </c>
      <c r="I43" s="9" t="s">
        <v>209</v>
      </c>
    </row>
    <row r="44" spans="1:9" s="8" customFormat="1" x14ac:dyDescent="0.25">
      <c r="A44" s="9" t="s">
        <v>137</v>
      </c>
      <c r="B44" s="9" t="s">
        <v>250</v>
      </c>
      <c r="C44" s="9" t="s">
        <v>247</v>
      </c>
      <c r="D44" s="9" t="s">
        <v>251</v>
      </c>
      <c r="E44" s="9" t="s">
        <v>252</v>
      </c>
      <c r="F44" s="9">
        <v>1</v>
      </c>
      <c r="G44" s="9" t="s">
        <v>129</v>
      </c>
      <c r="H44" s="9" t="s">
        <v>189</v>
      </c>
      <c r="I44" s="9" t="s">
        <v>209</v>
      </c>
    </row>
    <row r="45" spans="1:9" s="8" customFormat="1" x14ac:dyDescent="0.25">
      <c r="A45" s="9" t="s">
        <v>137</v>
      </c>
      <c r="B45" s="9" t="s">
        <v>253</v>
      </c>
      <c r="C45" s="9" t="s">
        <v>247</v>
      </c>
      <c r="D45" s="9" t="s">
        <v>254</v>
      </c>
      <c r="E45" s="9" t="s">
        <v>255</v>
      </c>
      <c r="F45" s="9">
        <v>3</v>
      </c>
      <c r="G45" s="9" t="s">
        <v>129</v>
      </c>
      <c r="H45" s="9" t="s">
        <v>189</v>
      </c>
      <c r="I45" s="9" t="s">
        <v>209</v>
      </c>
    </row>
    <row r="46" spans="1:9" s="8" customFormat="1" x14ac:dyDescent="0.25">
      <c r="A46" s="9" t="s">
        <v>137</v>
      </c>
      <c r="B46" s="9" t="s">
        <v>256</v>
      </c>
      <c r="C46" s="9" t="s">
        <v>247</v>
      </c>
      <c r="D46" s="9" t="s">
        <v>257</v>
      </c>
      <c r="E46" s="9" t="s">
        <v>258</v>
      </c>
      <c r="F46" s="9">
        <v>1</v>
      </c>
      <c r="G46" s="9" t="s">
        <v>129</v>
      </c>
      <c r="H46" s="9" t="s">
        <v>189</v>
      </c>
      <c r="I46" s="9" t="s">
        <v>209</v>
      </c>
    </row>
    <row r="47" spans="1:9" s="8" customFormat="1" x14ac:dyDescent="0.25">
      <c r="A47" s="9" t="s">
        <v>137</v>
      </c>
      <c r="B47" s="9" t="s">
        <v>259</v>
      </c>
      <c r="C47" s="9" t="s">
        <v>247</v>
      </c>
      <c r="D47" s="9" t="s">
        <v>260</v>
      </c>
      <c r="E47" s="9" t="s">
        <v>261</v>
      </c>
      <c r="F47" s="9">
        <v>2</v>
      </c>
      <c r="G47" s="9" t="s">
        <v>129</v>
      </c>
      <c r="H47" s="9" t="s">
        <v>189</v>
      </c>
      <c r="I47" s="9" t="s">
        <v>198</v>
      </c>
    </row>
    <row r="48" spans="1:9" s="8" customFormat="1" x14ac:dyDescent="0.25">
      <c r="A48" s="9" t="s">
        <v>137</v>
      </c>
      <c r="B48" s="9" t="s">
        <v>262</v>
      </c>
      <c r="C48" s="9" t="s">
        <v>247</v>
      </c>
      <c r="D48" s="9" t="s">
        <v>263</v>
      </c>
      <c r="E48" s="9" t="s">
        <v>3</v>
      </c>
      <c r="F48" s="9">
        <v>1</v>
      </c>
      <c r="G48" s="9" t="s">
        <v>129</v>
      </c>
      <c r="H48" s="9" t="s">
        <v>189</v>
      </c>
      <c r="I48" s="9" t="s">
        <v>190</v>
      </c>
    </row>
    <row r="49" spans="1:9" s="8" customFormat="1" x14ac:dyDescent="0.25">
      <c r="A49" s="9" t="s">
        <v>132</v>
      </c>
      <c r="B49" s="9" t="s">
        <v>264</v>
      </c>
      <c r="C49" s="9" t="s">
        <v>206</v>
      </c>
      <c r="D49" s="9" t="s">
        <v>265</v>
      </c>
      <c r="E49" s="9" t="s">
        <v>266</v>
      </c>
      <c r="F49" s="9">
        <v>3</v>
      </c>
      <c r="G49" s="9" t="s">
        <v>129</v>
      </c>
      <c r="H49" s="9" t="s">
        <v>189</v>
      </c>
      <c r="I49" s="9" t="s">
        <v>209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3" width="10" customWidth="1"/>
    <col min="4" max="5" width="62" customWidth="1"/>
    <col min="6" max="7" width="10" customWidth="1"/>
    <col min="8" max="8" width="22" customWidth="1"/>
    <col min="9" max="9" width="12" customWidth="1"/>
  </cols>
  <sheetData>
    <row r="1" ht="26" customHeight="1" spans="1:9" s="6" customFormat="1" x14ac:dyDescent="0.25">
      <c r="A1" s="7" t="s">
        <v>116</v>
      </c>
      <c r="B1" s="7" t="s">
        <v>117</v>
      </c>
      <c r="C1" s="7" t="s">
        <v>118</v>
      </c>
      <c r="D1" s="7" t="s">
        <v>119</v>
      </c>
      <c r="E1" s="7" t="s">
        <v>120</v>
      </c>
      <c r="F1" s="7" t="s">
        <v>121</v>
      </c>
      <c r="G1" s="7" t="s">
        <v>122</v>
      </c>
      <c r="H1" s="7" t="s">
        <v>123</v>
      </c>
      <c r="I1" s="7" t="s">
        <v>124</v>
      </c>
    </row>
    <row r="2" spans="1:9" s="11" customFormat="1" x14ac:dyDescent="0.25">
      <c r="A2" s="12" t="s">
        <v>125</v>
      </c>
      <c r="B2" s="12" t="s">
        <v>267</v>
      </c>
      <c r="C2" s="12" t="s">
        <v>3</v>
      </c>
      <c r="D2" s="12" t="s">
        <v>268</v>
      </c>
      <c r="E2" s="12" t="s">
        <v>269</v>
      </c>
      <c r="F2" s="12" t="s">
        <v>3</v>
      </c>
      <c r="G2" s="12" t="s">
        <v>270</v>
      </c>
      <c r="H2" s="12" t="s">
        <v>271</v>
      </c>
      <c r="I2" s="12" t="s">
        <v>272</v>
      </c>
    </row>
    <row r="3" spans="1:9" s="8" customFormat="1" x14ac:dyDescent="0.25">
      <c r="A3" s="9" t="s">
        <v>132</v>
      </c>
      <c r="B3" s="9" t="s">
        <v>273</v>
      </c>
      <c r="C3" s="9" t="s">
        <v>267</v>
      </c>
      <c r="D3" s="9" t="s">
        <v>274</v>
      </c>
      <c r="E3" s="9" t="s">
        <v>275</v>
      </c>
      <c r="F3" s="9">
        <v>5</v>
      </c>
      <c r="G3" s="9" t="s">
        <v>270</v>
      </c>
      <c r="H3" s="9" t="s">
        <v>271</v>
      </c>
      <c r="I3" s="9" t="s">
        <v>272</v>
      </c>
    </row>
    <row r="4" spans="1:9" s="8" customFormat="1" x14ac:dyDescent="0.25">
      <c r="A4" s="9" t="s">
        <v>137</v>
      </c>
      <c r="B4" s="9" t="s">
        <v>276</v>
      </c>
      <c r="C4" s="9" t="s">
        <v>273</v>
      </c>
      <c r="D4" s="9" t="s">
        <v>277</v>
      </c>
      <c r="E4" s="9" t="s">
        <v>278</v>
      </c>
      <c r="F4" s="9">
        <v>2</v>
      </c>
      <c r="G4" s="9" t="s">
        <v>270</v>
      </c>
      <c r="H4" s="9" t="s">
        <v>271</v>
      </c>
      <c r="I4" s="9" t="s">
        <v>272</v>
      </c>
    </row>
    <row r="5" spans="1:9" s="8" customFormat="1" x14ac:dyDescent="0.25">
      <c r="A5" s="9" t="s">
        <v>137</v>
      </c>
      <c r="B5" s="9" t="s">
        <v>279</v>
      </c>
      <c r="C5" s="9" t="s">
        <v>273</v>
      </c>
      <c r="D5" s="9" t="s">
        <v>280</v>
      </c>
      <c r="E5" s="9" t="s">
        <v>281</v>
      </c>
      <c r="F5" s="9">
        <v>1</v>
      </c>
      <c r="G5" s="9" t="s">
        <v>270</v>
      </c>
      <c r="H5" s="9" t="s">
        <v>271</v>
      </c>
      <c r="I5" s="9" t="s">
        <v>272</v>
      </c>
    </row>
    <row r="6" spans="1:9" s="8" customFormat="1" x14ac:dyDescent="0.25">
      <c r="A6" s="9" t="s">
        <v>137</v>
      </c>
      <c r="B6" s="9" t="s">
        <v>282</v>
      </c>
      <c r="C6" s="9" t="s">
        <v>273</v>
      </c>
      <c r="D6" s="9" t="s">
        <v>283</v>
      </c>
      <c r="E6" s="9" t="s">
        <v>284</v>
      </c>
      <c r="F6" s="9">
        <v>2</v>
      </c>
      <c r="G6" s="9" t="s">
        <v>270</v>
      </c>
      <c r="H6" s="9" t="s">
        <v>271</v>
      </c>
      <c r="I6" s="9" t="s">
        <v>272</v>
      </c>
    </row>
    <row r="7" spans="1:9" s="8" customFormat="1" x14ac:dyDescent="0.25">
      <c r="A7" s="9" t="s">
        <v>132</v>
      </c>
      <c r="B7" s="9" t="s">
        <v>285</v>
      </c>
      <c r="C7" s="9" t="s">
        <v>267</v>
      </c>
      <c r="D7" s="9" t="s">
        <v>286</v>
      </c>
      <c r="E7" s="9" t="s">
        <v>287</v>
      </c>
      <c r="F7" s="9">
        <v>5</v>
      </c>
      <c r="G7" s="9" t="s">
        <v>270</v>
      </c>
      <c r="H7" s="9" t="s">
        <v>271</v>
      </c>
      <c r="I7" s="9" t="s">
        <v>272</v>
      </c>
    </row>
    <row r="8" spans="1:9" s="8" customFormat="1" x14ac:dyDescent="0.25">
      <c r="A8" s="9" t="s">
        <v>137</v>
      </c>
      <c r="B8" s="9" t="s">
        <v>288</v>
      </c>
      <c r="C8" s="9" t="s">
        <v>285</v>
      </c>
      <c r="D8" s="9" t="s">
        <v>289</v>
      </c>
      <c r="E8" s="9" t="s">
        <v>290</v>
      </c>
      <c r="F8" s="9">
        <v>2</v>
      </c>
      <c r="G8" s="9" t="s">
        <v>270</v>
      </c>
      <c r="H8" s="9" t="s">
        <v>271</v>
      </c>
      <c r="I8" s="9" t="s">
        <v>272</v>
      </c>
    </row>
    <row r="9" spans="1:9" s="8" customFormat="1" x14ac:dyDescent="0.25">
      <c r="A9" s="9" t="s">
        <v>137</v>
      </c>
      <c r="B9" s="9" t="s">
        <v>291</v>
      </c>
      <c r="C9" s="9" t="s">
        <v>285</v>
      </c>
      <c r="D9" s="9" t="s">
        <v>292</v>
      </c>
      <c r="E9" s="9" t="s">
        <v>293</v>
      </c>
      <c r="F9" s="9">
        <v>3</v>
      </c>
      <c r="G9" s="9" t="s">
        <v>270</v>
      </c>
      <c r="H9" s="9" t="s">
        <v>271</v>
      </c>
      <c r="I9" s="9" t="s">
        <v>272</v>
      </c>
    </row>
    <row r="10" spans="1:9" s="8" customFormat="1" x14ac:dyDescent="0.25">
      <c r="A10" s="9" t="s">
        <v>137</v>
      </c>
      <c r="B10" s="9" t="s">
        <v>294</v>
      </c>
      <c r="C10" s="9" t="s">
        <v>285</v>
      </c>
      <c r="D10" s="9" t="s">
        <v>295</v>
      </c>
      <c r="E10" s="9" t="s">
        <v>3</v>
      </c>
      <c r="F10" s="9">
        <v>2</v>
      </c>
      <c r="G10" s="9" t="s">
        <v>270</v>
      </c>
      <c r="H10" s="9" t="s">
        <v>271</v>
      </c>
      <c r="I10" s="9" t="s">
        <v>272</v>
      </c>
    </row>
    <row r="11" spans="1:9" s="8" customFormat="1" x14ac:dyDescent="0.25">
      <c r="A11" s="9" t="s">
        <v>132</v>
      </c>
      <c r="B11" s="9" t="s">
        <v>296</v>
      </c>
      <c r="C11" s="9" t="s">
        <v>267</v>
      </c>
      <c r="D11" s="9" t="s">
        <v>297</v>
      </c>
      <c r="E11" s="9" t="s">
        <v>298</v>
      </c>
      <c r="F11" s="9">
        <v>3</v>
      </c>
      <c r="G11" s="9" t="s">
        <v>270</v>
      </c>
      <c r="H11" s="9" t="s">
        <v>271</v>
      </c>
      <c r="I11" s="9" t="s">
        <v>272</v>
      </c>
    </row>
    <row r="12" spans="1:9" s="8" customFormat="1" x14ac:dyDescent="0.25">
      <c r="A12" s="9" t="s">
        <v>137</v>
      </c>
      <c r="B12" s="9" t="s">
        <v>299</v>
      </c>
      <c r="C12" s="9" t="s">
        <v>296</v>
      </c>
      <c r="D12" s="9" t="s">
        <v>300</v>
      </c>
      <c r="E12" s="9" t="s">
        <v>301</v>
      </c>
      <c r="F12" s="9">
        <v>2</v>
      </c>
      <c r="G12" s="9" t="s">
        <v>270</v>
      </c>
      <c r="H12" s="9" t="s">
        <v>271</v>
      </c>
      <c r="I12" s="9" t="s">
        <v>272</v>
      </c>
    </row>
    <row r="13" spans="1:9" s="8" customFormat="1" x14ac:dyDescent="0.25">
      <c r="A13" s="9" t="s">
        <v>132</v>
      </c>
      <c r="B13" s="9" t="s">
        <v>302</v>
      </c>
      <c r="C13" s="9" t="s">
        <v>267</v>
      </c>
      <c r="D13" s="9" t="s">
        <v>303</v>
      </c>
      <c r="E13" s="9" t="s">
        <v>304</v>
      </c>
      <c r="F13" s="9">
        <v>5</v>
      </c>
      <c r="G13" s="9" t="s">
        <v>270</v>
      </c>
      <c r="H13" s="9" t="s">
        <v>271</v>
      </c>
      <c r="I13" s="9" t="s">
        <v>272</v>
      </c>
    </row>
    <row r="14" spans="1:9" s="8" customFormat="1" x14ac:dyDescent="0.25">
      <c r="A14" s="9" t="s">
        <v>137</v>
      </c>
      <c r="B14" s="9" t="s">
        <v>305</v>
      </c>
      <c r="C14" s="9" t="s">
        <v>302</v>
      </c>
      <c r="D14" s="9" t="s">
        <v>306</v>
      </c>
      <c r="E14" s="9" t="s">
        <v>3</v>
      </c>
      <c r="F14" s="9">
        <v>2</v>
      </c>
      <c r="G14" s="9" t="s">
        <v>270</v>
      </c>
      <c r="H14" s="9" t="s">
        <v>271</v>
      </c>
      <c r="I14" s="9" t="s">
        <v>272</v>
      </c>
    </row>
    <row r="15" spans="1:9" s="8" customFormat="1" x14ac:dyDescent="0.25">
      <c r="A15" s="9" t="s">
        <v>132</v>
      </c>
      <c r="B15" s="9" t="s">
        <v>307</v>
      </c>
      <c r="C15" s="9" t="s">
        <v>267</v>
      </c>
      <c r="D15" s="9" t="s">
        <v>308</v>
      </c>
      <c r="E15" s="9" t="s">
        <v>309</v>
      </c>
      <c r="F15" s="9">
        <v>3</v>
      </c>
      <c r="G15" s="9" t="s">
        <v>270</v>
      </c>
      <c r="H15" s="9" t="s">
        <v>271</v>
      </c>
      <c r="I15" s="9" t="s">
        <v>272</v>
      </c>
    </row>
    <row r="16" spans="1:9" s="8" customFormat="1" x14ac:dyDescent="0.25">
      <c r="A16" s="9" t="s">
        <v>137</v>
      </c>
      <c r="B16" s="9" t="s">
        <v>310</v>
      </c>
      <c r="C16" s="9" t="s">
        <v>307</v>
      </c>
      <c r="D16" s="9" t="s">
        <v>311</v>
      </c>
      <c r="E16" s="9" t="s">
        <v>3</v>
      </c>
      <c r="F16" s="9">
        <v>1</v>
      </c>
      <c r="G16" s="9" t="s">
        <v>270</v>
      </c>
      <c r="H16" s="9" t="s">
        <v>271</v>
      </c>
      <c r="I16" s="9" t="s">
        <v>272</v>
      </c>
    </row>
    <row r="17" spans="1:9" s="8" customFormat="1" x14ac:dyDescent="0.25">
      <c r="A17" s="9" t="s">
        <v>137</v>
      </c>
      <c r="B17" s="9" t="s">
        <v>312</v>
      </c>
      <c r="C17" s="9" t="s">
        <v>307</v>
      </c>
      <c r="D17" s="9" t="s">
        <v>313</v>
      </c>
      <c r="E17" s="9" t="s">
        <v>314</v>
      </c>
      <c r="F17" s="9">
        <v>2</v>
      </c>
      <c r="G17" s="9" t="s">
        <v>270</v>
      </c>
      <c r="H17" s="9" t="s">
        <v>271</v>
      </c>
      <c r="I17" s="9" t="s">
        <v>272</v>
      </c>
    </row>
    <row r="18" spans="1:9" s="8" customFormat="1" x14ac:dyDescent="0.25">
      <c r="A18" s="9" t="s">
        <v>132</v>
      </c>
      <c r="B18" s="9" t="s">
        <v>315</v>
      </c>
      <c r="C18" s="9" t="s">
        <v>267</v>
      </c>
      <c r="D18" s="9" t="s">
        <v>316</v>
      </c>
      <c r="E18" s="9" t="s">
        <v>317</v>
      </c>
      <c r="F18" s="9">
        <v>5</v>
      </c>
      <c r="G18" s="9" t="s">
        <v>270</v>
      </c>
      <c r="H18" s="9" t="s">
        <v>271</v>
      </c>
      <c r="I18" s="9" t="s">
        <v>272</v>
      </c>
    </row>
    <row r="19" spans="1:9" s="8" customFormat="1" x14ac:dyDescent="0.25">
      <c r="A19" s="9" t="s">
        <v>137</v>
      </c>
      <c r="B19" s="9" t="s">
        <v>318</v>
      </c>
      <c r="C19" s="9" t="s">
        <v>315</v>
      </c>
      <c r="D19" s="9" t="s">
        <v>319</v>
      </c>
      <c r="E19" s="9" t="s">
        <v>320</v>
      </c>
      <c r="F19" s="9">
        <v>2</v>
      </c>
      <c r="G19" s="9" t="s">
        <v>270</v>
      </c>
      <c r="H19" s="9" t="s">
        <v>271</v>
      </c>
      <c r="I19" s="9" t="s">
        <v>272</v>
      </c>
    </row>
    <row r="20" spans="1:9" s="8" customFormat="1" x14ac:dyDescent="0.25">
      <c r="A20" s="9" t="s">
        <v>137</v>
      </c>
      <c r="B20" s="9" t="s">
        <v>321</v>
      </c>
      <c r="C20" s="9" t="s">
        <v>315</v>
      </c>
      <c r="D20" s="9" t="s">
        <v>322</v>
      </c>
      <c r="E20" s="9" t="s">
        <v>323</v>
      </c>
      <c r="F20" s="9">
        <v>2</v>
      </c>
      <c r="G20" s="9" t="s">
        <v>270</v>
      </c>
      <c r="H20" s="9" t="s">
        <v>271</v>
      </c>
      <c r="I20" s="9" t="s">
        <v>272</v>
      </c>
    </row>
    <row r="21" spans="1:9" s="8" customFormat="1" x14ac:dyDescent="0.25">
      <c r="A21" s="9" t="s">
        <v>137</v>
      </c>
      <c r="B21" s="9" t="s">
        <v>324</v>
      </c>
      <c r="C21" s="9" t="s">
        <v>315</v>
      </c>
      <c r="D21" s="9" t="s">
        <v>325</v>
      </c>
      <c r="E21" s="9" t="s">
        <v>326</v>
      </c>
      <c r="F21" s="9">
        <v>1</v>
      </c>
      <c r="G21" s="9" t="s">
        <v>270</v>
      </c>
      <c r="H21" s="9" t="s">
        <v>271</v>
      </c>
      <c r="I21" s="9" t="s">
        <v>272</v>
      </c>
    </row>
    <row r="22" spans="1:9" s="8" customFormat="1" x14ac:dyDescent="0.25">
      <c r="A22" s="9" t="s">
        <v>132</v>
      </c>
      <c r="B22" s="9" t="s">
        <v>327</v>
      </c>
      <c r="C22" s="9" t="s">
        <v>267</v>
      </c>
      <c r="D22" s="9" t="s">
        <v>328</v>
      </c>
      <c r="E22" s="9" t="s">
        <v>329</v>
      </c>
      <c r="F22" s="9">
        <v>3</v>
      </c>
      <c r="G22" s="9" t="s">
        <v>270</v>
      </c>
      <c r="H22" s="9" t="s">
        <v>271</v>
      </c>
      <c r="I22" s="9" t="s">
        <v>272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44" customWidth="1"/>
    <col min="4" max="4" width="22" customWidth="1"/>
    <col min="5" max="5" width="32" customWidth="1"/>
    <col min="6" max="6" width="40" customWidth="1"/>
    <col min="7" max="7" width="44" customWidth="1"/>
    <col min="8" max="8" width="14" customWidth="1"/>
    <col min="9" max="9" width="30" customWidth="1"/>
    <col min="10" max="10" width="10" customWidth="1"/>
    <col min="11" max="11" width="12" customWidth="1"/>
  </cols>
  <sheetData>
    <row r="1" ht="26" customHeight="1" spans="1:11" s="6" customFormat="1" x14ac:dyDescent="0.25">
      <c r="A1" s="7" t="s">
        <v>117</v>
      </c>
      <c r="B1" s="7" t="s">
        <v>330</v>
      </c>
      <c r="C1" s="7" t="s">
        <v>331</v>
      </c>
      <c r="D1" s="7" t="s">
        <v>332</v>
      </c>
      <c r="E1" s="7" t="s">
        <v>333</v>
      </c>
      <c r="F1" s="7" t="s">
        <v>334</v>
      </c>
      <c r="G1" s="7" t="s">
        <v>335</v>
      </c>
      <c r="H1" s="7" t="s">
        <v>336</v>
      </c>
      <c r="I1" s="7" t="s">
        <v>337</v>
      </c>
      <c r="J1" s="7" t="s">
        <v>338</v>
      </c>
      <c r="K1" s="7" t="s">
        <v>339</v>
      </c>
    </row>
    <row r="2" spans="1:11" s="8" customFormat="1" x14ac:dyDescent="0.25">
      <c r="A2" s="9" t="s">
        <v>340</v>
      </c>
      <c r="B2" s="9" t="s">
        <v>136</v>
      </c>
      <c r="C2" s="9" t="s">
        <v>341</v>
      </c>
      <c r="D2" s="9" t="s">
        <v>342</v>
      </c>
      <c r="E2" s="9" t="s">
        <v>343</v>
      </c>
      <c r="F2" s="9" t="s">
        <v>344</v>
      </c>
      <c r="G2" s="9" t="s">
        <v>345</v>
      </c>
      <c r="H2" s="13" t="s">
        <v>346</v>
      </c>
      <c r="I2" s="9" t="s">
        <v>347</v>
      </c>
      <c r="J2" s="9" t="s">
        <v>3</v>
      </c>
      <c r="K2" s="9" t="s">
        <v>3</v>
      </c>
    </row>
    <row r="3" spans="1:11" s="8" customFormat="1" x14ac:dyDescent="0.25">
      <c r="A3" s="9" t="s">
        <v>348</v>
      </c>
      <c r="B3" s="9" t="s">
        <v>136</v>
      </c>
      <c r="C3" s="9" t="s">
        <v>349</v>
      </c>
      <c r="D3" s="9" t="s">
        <v>350</v>
      </c>
      <c r="E3" s="9" t="s">
        <v>351</v>
      </c>
      <c r="F3" s="9" t="s">
        <v>352</v>
      </c>
      <c r="G3" s="9" t="s">
        <v>353</v>
      </c>
      <c r="H3" s="13" t="s">
        <v>346</v>
      </c>
      <c r="I3" s="9" t="s">
        <v>354</v>
      </c>
      <c r="J3" s="9" t="s">
        <v>3</v>
      </c>
      <c r="K3" s="9" t="s">
        <v>3</v>
      </c>
    </row>
    <row r="4" spans="1:11" s="8" customFormat="1" x14ac:dyDescent="0.25">
      <c r="A4" s="9" t="s">
        <v>355</v>
      </c>
      <c r="B4" s="9" t="s">
        <v>136</v>
      </c>
      <c r="C4" s="9" t="s">
        <v>356</v>
      </c>
      <c r="D4" s="9" t="s">
        <v>357</v>
      </c>
      <c r="E4" s="9" t="s">
        <v>358</v>
      </c>
      <c r="F4" s="9" t="s">
        <v>359</v>
      </c>
      <c r="G4" s="9" t="s">
        <v>360</v>
      </c>
      <c r="H4" s="13" t="s">
        <v>346</v>
      </c>
      <c r="I4" s="9" t="s">
        <v>361</v>
      </c>
      <c r="J4" s="9" t="s">
        <v>3</v>
      </c>
      <c r="K4" s="9" t="s">
        <v>3</v>
      </c>
    </row>
    <row r="5" spans="1:11" s="8" customFormat="1" x14ac:dyDescent="0.25">
      <c r="A5" s="9" t="s">
        <v>362</v>
      </c>
      <c r="B5" s="9" t="s">
        <v>136</v>
      </c>
      <c r="C5" s="9" t="s">
        <v>363</v>
      </c>
      <c r="D5" s="9" t="s">
        <v>357</v>
      </c>
      <c r="E5" s="9" t="s">
        <v>364</v>
      </c>
      <c r="F5" s="9" t="s">
        <v>365</v>
      </c>
      <c r="G5" s="9" t="s">
        <v>366</v>
      </c>
      <c r="H5" s="13" t="s">
        <v>346</v>
      </c>
      <c r="I5" s="9" t="s">
        <v>367</v>
      </c>
      <c r="J5" s="9" t="s">
        <v>3</v>
      </c>
      <c r="K5" s="9" t="s">
        <v>3</v>
      </c>
    </row>
    <row r="6" spans="1:11" s="8" customFormat="1" x14ac:dyDescent="0.25">
      <c r="A6" s="9" t="s">
        <v>368</v>
      </c>
      <c r="B6" s="9" t="s">
        <v>136</v>
      </c>
      <c r="C6" s="9" t="s">
        <v>369</v>
      </c>
      <c r="D6" s="9" t="s">
        <v>370</v>
      </c>
      <c r="E6" s="9" t="s">
        <v>371</v>
      </c>
      <c r="F6" s="9" t="s">
        <v>372</v>
      </c>
      <c r="G6" s="9" t="s">
        <v>373</v>
      </c>
      <c r="H6" s="13" t="s">
        <v>346</v>
      </c>
      <c r="I6" s="9" t="s">
        <v>347</v>
      </c>
      <c r="J6" s="9" t="s">
        <v>3</v>
      </c>
      <c r="K6" s="9" t="s">
        <v>374</v>
      </c>
    </row>
    <row r="7" spans="1:11" s="8" customFormat="1" x14ac:dyDescent="0.25">
      <c r="A7" s="9" t="s">
        <v>375</v>
      </c>
      <c r="B7" s="9" t="s">
        <v>136</v>
      </c>
      <c r="C7" s="9" t="s">
        <v>376</v>
      </c>
      <c r="D7" s="9" t="s">
        <v>370</v>
      </c>
      <c r="E7" s="9" t="s">
        <v>377</v>
      </c>
      <c r="F7" s="9" t="s">
        <v>378</v>
      </c>
      <c r="G7" s="9" t="s">
        <v>379</v>
      </c>
      <c r="H7" s="13" t="s">
        <v>346</v>
      </c>
      <c r="I7" s="9" t="s">
        <v>347</v>
      </c>
      <c r="J7" s="9" t="s">
        <v>3</v>
      </c>
      <c r="K7" s="9" t="s">
        <v>3</v>
      </c>
    </row>
    <row r="8" spans="1:11" s="8" customFormat="1" x14ac:dyDescent="0.25">
      <c r="A8" s="9" t="s">
        <v>380</v>
      </c>
      <c r="B8" s="9" t="s">
        <v>136</v>
      </c>
      <c r="C8" s="9" t="s">
        <v>381</v>
      </c>
      <c r="D8" s="9" t="s">
        <v>382</v>
      </c>
      <c r="E8" s="9" t="s">
        <v>351</v>
      </c>
      <c r="F8" s="9" t="s">
        <v>383</v>
      </c>
      <c r="G8" s="9" t="s">
        <v>384</v>
      </c>
      <c r="H8" s="13" t="s">
        <v>346</v>
      </c>
      <c r="I8" s="9" t="s">
        <v>347</v>
      </c>
      <c r="J8" s="9" t="s">
        <v>3</v>
      </c>
      <c r="K8" s="9" t="s">
        <v>3</v>
      </c>
    </row>
    <row r="9" spans="1:11" s="8" customFormat="1" x14ac:dyDescent="0.25">
      <c r="A9" s="9" t="s">
        <v>385</v>
      </c>
      <c r="B9" s="9" t="s">
        <v>136</v>
      </c>
      <c r="C9" s="9" t="s">
        <v>386</v>
      </c>
      <c r="D9" s="9" t="s">
        <v>342</v>
      </c>
      <c r="E9" s="9" t="s">
        <v>387</v>
      </c>
      <c r="F9" s="9" t="s">
        <v>388</v>
      </c>
      <c r="G9" s="9" t="s">
        <v>389</v>
      </c>
      <c r="H9" s="14" t="s">
        <v>390</v>
      </c>
      <c r="I9" s="9" t="s">
        <v>391</v>
      </c>
      <c r="J9" s="9" t="s">
        <v>3</v>
      </c>
      <c r="K9" s="9" t="s">
        <v>3</v>
      </c>
    </row>
    <row r="10" spans="1:11" s="8" customFormat="1" x14ac:dyDescent="0.25">
      <c r="A10" s="9" t="s">
        <v>392</v>
      </c>
      <c r="B10" s="9" t="s">
        <v>136</v>
      </c>
      <c r="C10" s="9" t="s">
        <v>393</v>
      </c>
      <c r="D10" s="9" t="s">
        <v>342</v>
      </c>
      <c r="E10" s="9" t="s">
        <v>394</v>
      </c>
      <c r="F10" s="9" t="s">
        <v>395</v>
      </c>
      <c r="G10" s="9" t="s">
        <v>396</v>
      </c>
      <c r="H10" s="13" t="s">
        <v>346</v>
      </c>
      <c r="I10" s="9" t="s">
        <v>347</v>
      </c>
      <c r="J10" s="9" t="s">
        <v>3</v>
      </c>
      <c r="K10" s="9" t="s">
        <v>3</v>
      </c>
    </row>
    <row r="11" spans="1:11" s="8" customFormat="1" x14ac:dyDescent="0.25">
      <c r="A11" s="9" t="s">
        <v>397</v>
      </c>
      <c r="B11" s="9" t="s">
        <v>136</v>
      </c>
      <c r="C11" s="9" t="s">
        <v>398</v>
      </c>
      <c r="D11" s="9" t="s">
        <v>342</v>
      </c>
      <c r="E11" s="9" t="s">
        <v>399</v>
      </c>
      <c r="F11" s="9" t="s">
        <v>400</v>
      </c>
      <c r="G11" s="9" t="s">
        <v>400</v>
      </c>
      <c r="H11" s="13" t="s">
        <v>346</v>
      </c>
      <c r="I11" s="9" t="s">
        <v>401</v>
      </c>
      <c r="J11" s="9" t="s">
        <v>3</v>
      </c>
      <c r="K11" s="9" t="s">
        <v>3</v>
      </c>
    </row>
    <row r="12" spans="1:11" s="8" customFormat="1" x14ac:dyDescent="0.25">
      <c r="A12" s="9" t="s">
        <v>402</v>
      </c>
      <c r="B12" s="9" t="s">
        <v>136</v>
      </c>
      <c r="C12" s="9" t="s">
        <v>403</v>
      </c>
      <c r="D12" s="9" t="s">
        <v>404</v>
      </c>
      <c r="E12" s="9" t="s">
        <v>405</v>
      </c>
      <c r="F12" s="9" t="s">
        <v>406</v>
      </c>
      <c r="G12" s="9" t="s">
        <v>407</v>
      </c>
      <c r="H12" s="13" t="s">
        <v>346</v>
      </c>
      <c r="I12" s="9" t="s">
        <v>347</v>
      </c>
      <c r="J12" s="9" t="s">
        <v>3</v>
      </c>
      <c r="K12" s="9" t="s">
        <v>3</v>
      </c>
    </row>
    <row r="13" spans="1:11" s="8" customFormat="1" x14ac:dyDescent="0.25">
      <c r="A13" s="9" t="s">
        <v>408</v>
      </c>
      <c r="B13" s="9" t="s">
        <v>136</v>
      </c>
      <c r="C13" s="9" t="s">
        <v>409</v>
      </c>
      <c r="D13" s="9" t="s">
        <v>370</v>
      </c>
      <c r="E13" s="9" t="s">
        <v>410</v>
      </c>
      <c r="F13" s="9" t="s">
        <v>411</v>
      </c>
      <c r="G13" s="9" t="s">
        <v>412</v>
      </c>
      <c r="H13" s="13" t="s">
        <v>346</v>
      </c>
      <c r="I13" s="9" t="s">
        <v>347</v>
      </c>
      <c r="J13" s="9" t="s">
        <v>3</v>
      </c>
      <c r="K13" s="9" t="s">
        <v>3</v>
      </c>
    </row>
    <row r="14" spans="1:11" s="8" customFormat="1" x14ac:dyDescent="0.25">
      <c r="A14" s="9" t="s">
        <v>413</v>
      </c>
      <c r="B14" s="9" t="s">
        <v>136</v>
      </c>
      <c r="C14" s="9" t="s">
        <v>414</v>
      </c>
      <c r="D14" s="9" t="s">
        <v>415</v>
      </c>
      <c r="E14" s="9" t="s">
        <v>416</v>
      </c>
      <c r="F14" s="9" t="s">
        <v>417</v>
      </c>
      <c r="G14" s="9" t="s">
        <v>418</v>
      </c>
      <c r="H14" s="14" t="s">
        <v>390</v>
      </c>
      <c r="I14" s="9" t="s">
        <v>391</v>
      </c>
      <c r="J14" s="9" t="s">
        <v>3</v>
      </c>
      <c r="K14" s="9" t="s">
        <v>3</v>
      </c>
    </row>
    <row r="15" spans="1:11" s="8" customFormat="1" x14ac:dyDescent="0.25">
      <c r="A15" s="9" t="s">
        <v>419</v>
      </c>
      <c r="B15" s="9" t="s">
        <v>136</v>
      </c>
      <c r="C15" s="9" t="s">
        <v>420</v>
      </c>
      <c r="D15" s="9" t="s">
        <v>350</v>
      </c>
      <c r="E15" s="9" t="s">
        <v>421</v>
      </c>
      <c r="F15" s="9" t="s">
        <v>422</v>
      </c>
      <c r="G15" s="9" t="s">
        <v>423</v>
      </c>
      <c r="H15" s="15" t="s">
        <v>424</v>
      </c>
      <c r="I15" s="9" t="s">
        <v>347</v>
      </c>
      <c r="J15" s="9" t="s">
        <v>425</v>
      </c>
      <c r="K15" s="9" t="s">
        <v>3</v>
      </c>
    </row>
    <row r="16" spans="1:11" s="8" customFormat="1" x14ac:dyDescent="0.25">
      <c r="A16" s="9" t="s">
        <v>426</v>
      </c>
      <c r="B16" s="9" t="s">
        <v>136</v>
      </c>
      <c r="C16" s="9" t="s">
        <v>427</v>
      </c>
      <c r="D16" s="9" t="s">
        <v>428</v>
      </c>
      <c r="E16" s="9" t="s">
        <v>429</v>
      </c>
      <c r="F16" s="9" t="s">
        <v>430</v>
      </c>
      <c r="G16" s="9" t="s">
        <v>431</v>
      </c>
      <c r="H16" s="15" t="s">
        <v>424</v>
      </c>
      <c r="I16" s="9" t="s">
        <v>347</v>
      </c>
      <c r="J16" s="9" t="s">
        <v>432</v>
      </c>
      <c r="K16" s="9" t="s">
        <v>3</v>
      </c>
    </row>
    <row r="17" spans="1:11" s="8" customFormat="1" x14ac:dyDescent="0.25">
      <c r="A17" s="9" t="s">
        <v>433</v>
      </c>
      <c r="B17" s="9" t="s">
        <v>209</v>
      </c>
      <c r="C17" s="9" t="s">
        <v>434</v>
      </c>
      <c r="D17" s="9" t="s">
        <v>435</v>
      </c>
      <c r="E17" s="9" t="s">
        <v>436</v>
      </c>
      <c r="F17" s="9" t="s">
        <v>437</v>
      </c>
      <c r="G17" s="9" t="s">
        <v>438</v>
      </c>
      <c r="H17" s="13" t="s">
        <v>346</v>
      </c>
      <c r="I17" s="9" t="s">
        <v>347</v>
      </c>
      <c r="J17" s="9" t="s">
        <v>3</v>
      </c>
      <c r="K17" s="9" t="s">
        <v>3</v>
      </c>
    </row>
    <row r="18" spans="1:11" s="8" customFormat="1" x14ac:dyDescent="0.25">
      <c r="A18" s="9" t="s">
        <v>439</v>
      </c>
      <c r="B18" s="9" t="s">
        <v>209</v>
      </c>
      <c r="C18" s="9" t="s">
        <v>440</v>
      </c>
      <c r="D18" s="9" t="s">
        <v>441</v>
      </c>
      <c r="E18" s="9" t="s">
        <v>442</v>
      </c>
      <c r="F18" s="9" t="s">
        <v>443</v>
      </c>
      <c r="G18" s="9" t="s">
        <v>444</v>
      </c>
      <c r="H18" s="13" t="s">
        <v>346</v>
      </c>
      <c r="I18" s="9" t="s">
        <v>347</v>
      </c>
      <c r="J18" s="9" t="s">
        <v>3</v>
      </c>
      <c r="K18" s="9" t="s">
        <v>3</v>
      </c>
    </row>
    <row r="19" spans="1:11" s="8" customFormat="1" x14ac:dyDescent="0.25">
      <c r="A19" s="9" t="s">
        <v>445</v>
      </c>
      <c r="B19" s="9" t="s">
        <v>209</v>
      </c>
      <c r="C19" s="9" t="s">
        <v>446</v>
      </c>
      <c r="D19" s="9" t="s">
        <v>441</v>
      </c>
      <c r="E19" s="9" t="s">
        <v>447</v>
      </c>
      <c r="F19" s="9" t="s">
        <v>448</v>
      </c>
      <c r="G19" s="9" t="s">
        <v>449</v>
      </c>
      <c r="H19" s="13" t="s">
        <v>346</v>
      </c>
      <c r="I19" s="9" t="s">
        <v>347</v>
      </c>
      <c r="J19" s="9" t="s">
        <v>3</v>
      </c>
      <c r="K19" s="9" t="s">
        <v>3</v>
      </c>
    </row>
    <row r="20" spans="1:11" s="8" customFormat="1" x14ac:dyDescent="0.25">
      <c r="A20" s="9" t="s">
        <v>450</v>
      </c>
      <c r="B20" s="9" t="s">
        <v>209</v>
      </c>
      <c r="C20" s="9" t="s">
        <v>451</v>
      </c>
      <c r="D20" s="9" t="s">
        <v>452</v>
      </c>
      <c r="E20" s="9" t="s">
        <v>453</v>
      </c>
      <c r="F20" s="9" t="s">
        <v>454</v>
      </c>
      <c r="G20" s="9" t="s">
        <v>455</v>
      </c>
      <c r="H20" s="13" t="s">
        <v>346</v>
      </c>
      <c r="I20" s="9" t="s">
        <v>347</v>
      </c>
      <c r="J20" s="9" t="s">
        <v>3</v>
      </c>
      <c r="K20" s="9" t="s">
        <v>3</v>
      </c>
    </row>
    <row r="21" spans="1:11" s="8" customFormat="1" x14ac:dyDescent="0.25">
      <c r="A21" s="9" t="s">
        <v>456</v>
      </c>
      <c r="B21" s="9" t="s">
        <v>209</v>
      </c>
      <c r="C21" s="9" t="s">
        <v>457</v>
      </c>
      <c r="D21" s="9" t="s">
        <v>458</v>
      </c>
      <c r="E21" s="9" t="s">
        <v>459</v>
      </c>
      <c r="F21" s="9" t="s">
        <v>460</v>
      </c>
      <c r="G21" s="9" t="s">
        <v>461</v>
      </c>
      <c r="H21" s="13" t="s">
        <v>346</v>
      </c>
      <c r="I21" s="9" t="s">
        <v>347</v>
      </c>
      <c r="J21" s="9" t="s">
        <v>3</v>
      </c>
      <c r="K21" s="9" t="s">
        <v>462</v>
      </c>
    </row>
    <row r="22" spans="1:11" s="8" customFormat="1" x14ac:dyDescent="0.25">
      <c r="A22" s="9" t="s">
        <v>463</v>
      </c>
      <c r="B22" s="9" t="s">
        <v>209</v>
      </c>
      <c r="C22" s="9" t="s">
        <v>464</v>
      </c>
      <c r="D22" s="9" t="s">
        <v>458</v>
      </c>
      <c r="E22" s="9" t="s">
        <v>465</v>
      </c>
      <c r="F22" s="9" t="s">
        <v>466</v>
      </c>
      <c r="G22" s="9" t="s">
        <v>467</v>
      </c>
      <c r="H22" s="13" t="s">
        <v>346</v>
      </c>
      <c r="I22" s="9" t="s">
        <v>347</v>
      </c>
      <c r="J22" s="9" t="s">
        <v>3</v>
      </c>
      <c r="K22" s="9" t="s">
        <v>462</v>
      </c>
    </row>
    <row r="23" spans="1:11" s="8" customFormat="1" x14ac:dyDescent="0.25">
      <c r="A23" s="9" t="s">
        <v>468</v>
      </c>
      <c r="B23" s="9" t="s">
        <v>209</v>
      </c>
      <c r="C23" s="9" t="s">
        <v>469</v>
      </c>
      <c r="D23" s="9" t="s">
        <v>458</v>
      </c>
      <c r="E23" s="9" t="s">
        <v>470</v>
      </c>
      <c r="F23" s="9" t="s">
        <v>471</v>
      </c>
      <c r="G23" s="9" t="s">
        <v>472</v>
      </c>
      <c r="H23" s="13" t="s">
        <v>346</v>
      </c>
      <c r="I23" s="9" t="s">
        <v>347</v>
      </c>
      <c r="J23" s="9" t="s">
        <v>3</v>
      </c>
      <c r="K23" s="9" t="s">
        <v>462</v>
      </c>
    </row>
    <row r="24" spans="1:11" s="8" customFormat="1" x14ac:dyDescent="0.25">
      <c r="A24" s="9" t="s">
        <v>473</v>
      </c>
      <c r="B24" s="9" t="s">
        <v>209</v>
      </c>
      <c r="C24" s="9" t="s">
        <v>474</v>
      </c>
      <c r="D24" s="9" t="s">
        <v>475</v>
      </c>
      <c r="E24" s="9" t="s">
        <v>476</v>
      </c>
      <c r="F24" s="9" t="s">
        <v>477</v>
      </c>
      <c r="G24" s="9" t="s">
        <v>478</v>
      </c>
      <c r="H24" s="13" t="s">
        <v>346</v>
      </c>
      <c r="I24" s="9" t="s">
        <v>347</v>
      </c>
      <c r="J24" s="9" t="s">
        <v>3</v>
      </c>
      <c r="K24" s="9" t="s">
        <v>3</v>
      </c>
    </row>
    <row r="25" spans="1:11" s="8" customFormat="1" x14ac:dyDescent="0.25">
      <c r="A25" s="9" t="s">
        <v>479</v>
      </c>
      <c r="B25" s="9" t="s">
        <v>209</v>
      </c>
      <c r="C25" s="9" t="s">
        <v>480</v>
      </c>
      <c r="D25" s="9" t="s">
        <v>481</v>
      </c>
      <c r="E25" s="9" t="s">
        <v>482</v>
      </c>
      <c r="F25" s="9" t="s">
        <v>483</v>
      </c>
      <c r="G25" s="9" t="s">
        <v>484</v>
      </c>
      <c r="H25" s="13" t="s">
        <v>346</v>
      </c>
      <c r="I25" s="9" t="s">
        <v>347</v>
      </c>
      <c r="J25" s="9" t="s">
        <v>3</v>
      </c>
      <c r="K25" s="9" t="s">
        <v>3</v>
      </c>
    </row>
    <row r="26" spans="1:11" s="8" customFormat="1" x14ac:dyDescent="0.25">
      <c r="A26" s="9" t="s">
        <v>485</v>
      </c>
      <c r="B26" s="9" t="s">
        <v>209</v>
      </c>
      <c r="C26" s="9" t="s">
        <v>486</v>
      </c>
      <c r="D26" s="9" t="s">
        <v>487</v>
      </c>
      <c r="E26" s="9" t="s">
        <v>488</v>
      </c>
      <c r="F26" s="9" t="s">
        <v>489</v>
      </c>
      <c r="G26" s="9" t="s">
        <v>490</v>
      </c>
      <c r="H26" s="13" t="s">
        <v>346</v>
      </c>
      <c r="I26" s="9" t="s">
        <v>347</v>
      </c>
      <c r="J26" s="9" t="s">
        <v>3</v>
      </c>
      <c r="K26" s="9" t="s">
        <v>3</v>
      </c>
    </row>
    <row r="27" spans="1:11" s="8" customFormat="1" x14ac:dyDescent="0.25">
      <c r="A27" s="9" t="s">
        <v>491</v>
      </c>
      <c r="B27" s="9" t="s">
        <v>209</v>
      </c>
      <c r="C27" s="9" t="s">
        <v>492</v>
      </c>
      <c r="D27" s="9" t="s">
        <v>493</v>
      </c>
      <c r="E27" s="9" t="s">
        <v>494</v>
      </c>
      <c r="F27" s="9" t="s">
        <v>495</v>
      </c>
      <c r="G27" s="9" t="s">
        <v>455</v>
      </c>
      <c r="H27" s="13" t="s">
        <v>346</v>
      </c>
      <c r="I27" s="9" t="s">
        <v>347</v>
      </c>
      <c r="J27" s="9" t="s">
        <v>3</v>
      </c>
      <c r="K27" s="9" t="s">
        <v>3</v>
      </c>
    </row>
    <row r="28" spans="1:11" s="8" customFormat="1" x14ac:dyDescent="0.25">
      <c r="A28" s="9" t="s">
        <v>496</v>
      </c>
      <c r="B28" s="9" t="s">
        <v>209</v>
      </c>
      <c r="C28" s="9" t="s">
        <v>497</v>
      </c>
      <c r="D28" s="9" t="s">
        <v>498</v>
      </c>
      <c r="E28" s="9" t="s">
        <v>499</v>
      </c>
      <c r="F28" s="9" t="s">
        <v>500</v>
      </c>
      <c r="G28" s="9" t="s">
        <v>501</v>
      </c>
      <c r="H28" s="13" t="s">
        <v>346</v>
      </c>
      <c r="I28" s="9" t="s">
        <v>347</v>
      </c>
      <c r="J28" s="9" t="s">
        <v>3</v>
      </c>
      <c r="K28" s="9" t="s">
        <v>3</v>
      </c>
    </row>
    <row r="29" spans="1:11" s="8" customFormat="1" x14ac:dyDescent="0.25">
      <c r="A29" s="9" t="s">
        <v>502</v>
      </c>
      <c r="B29" s="9" t="s">
        <v>209</v>
      </c>
      <c r="C29" s="9" t="s">
        <v>503</v>
      </c>
      <c r="D29" s="9" t="s">
        <v>504</v>
      </c>
      <c r="E29" s="9" t="s">
        <v>505</v>
      </c>
      <c r="F29" s="9" t="s">
        <v>506</v>
      </c>
      <c r="G29" s="9" t="s">
        <v>507</v>
      </c>
      <c r="H29" s="14" t="s">
        <v>390</v>
      </c>
      <c r="I29" s="9" t="s">
        <v>391</v>
      </c>
      <c r="J29" s="9" t="s">
        <v>3</v>
      </c>
      <c r="K29" s="9" t="s">
        <v>3</v>
      </c>
    </row>
    <row r="30" spans="1:11" s="8" customFormat="1" x14ac:dyDescent="0.25">
      <c r="A30" s="9" t="s">
        <v>508</v>
      </c>
      <c r="B30" s="9" t="s">
        <v>209</v>
      </c>
      <c r="C30" s="9" t="s">
        <v>509</v>
      </c>
      <c r="D30" s="9" t="s">
        <v>498</v>
      </c>
      <c r="E30" s="9" t="s">
        <v>510</v>
      </c>
      <c r="F30" s="9" t="s">
        <v>511</v>
      </c>
      <c r="G30" s="9" t="s">
        <v>472</v>
      </c>
      <c r="H30" s="13" t="s">
        <v>346</v>
      </c>
      <c r="I30" s="9" t="s">
        <v>347</v>
      </c>
      <c r="J30" s="9" t="s">
        <v>3</v>
      </c>
      <c r="K30" s="9" t="s">
        <v>3</v>
      </c>
    </row>
    <row r="31" spans="1:11" s="8" customFormat="1" x14ac:dyDescent="0.25">
      <c r="A31" s="9" t="s">
        <v>512</v>
      </c>
      <c r="B31" s="9" t="s">
        <v>209</v>
      </c>
      <c r="C31" s="9" t="s">
        <v>513</v>
      </c>
      <c r="D31" s="9" t="s">
        <v>514</v>
      </c>
      <c r="E31" s="9" t="s">
        <v>515</v>
      </c>
      <c r="F31" s="9" t="s">
        <v>516</v>
      </c>
      <c r="G31" s="9" t="s">
        <v>517</v>
      </c>
      <c r="H31" s="13" t="s">
        <v>346</v>
      </c>
      <c r="I31" s="9" t="s">
        <v>347</v>
      </c>
      <c r="J31" s="9" t="s">
        <v>3</v>
      </c>
      <c r="K31" s="9" t="s">
        <v>3</v>
      </c>
    </row>
    <row r="32" spans="1:11" s="8" customFormat="1" x14ac:dyDescent="0.25">
      <c r="A32" s="9" t="s">
        <v>518</v>
      </c>
      <c r="B32" s="9" t="s">
        <v>209</v>
      </c>
      <c r="C32" s="9" t="s">
        <v>519</v>
      </c>
      <c r="D32" s="9" t="s">
        <v>514</v>
      </c>
      <c r="E32" s="9" t="s">
        <v>520</v>
      </c>
      <c r="F32" s="9" t="s">
        <v>521</v>
      </c>
      <c r="G32" s="9" t="s">
        <v>522</v>
      </c>
      <c r="H32" s="14" t="s">
        <v>390</v>
      </c>
      <c r="I32" s="9" t="s">
        <v>391</v>
      </c>
      <c r="J32" s="9" t="s">
        <v>3</v>
      </c>
      <c r="K32" s="9" t="s">
        <v>3</v>
      </c>
    </row>
    <row r="33" spans="1:11" s="8" customFormat="1" x14ac:dyDescent="0.25">
      <c r="A33" s="9" t="s">
        <v>523</v>
      </c>
      <c r="B33" s="9" t="s">
        <v>209</v>
      </c>
      <c r="C33" s="9" t="s">
        <v>524</v>
      </c>
      <c r="D33" s="9" t="s">
        <v>525</v>
      </c>
      <c r="E33" s="9" t="s">
        <v>526</v>
      </c>
      <c r="F33" s="9" t="s">
        <v>527</v>
      </c>
      <c r="G33" s="9" t="s">
        <v>390</v>
      </c>
      <c r="H33" s="14" t="s">
        <v>390</v>
      </c>
      <c r="I33" s="9" t="s">
        <v>391</v>
      </c>
      <c r="J33" s="9" t="s">
        <v>3</v>
      </c>
      <c r="K33" s="9" t="s">
        <v>3</v>
      </c>
    </row>
    <row r="34" spans="1:11" s="8" customFormat="1" x14ac:dyDescent="0.25">
      <c r="A34" s="9" t="s">
        <v>528</v>
      </c>
      <c r="B34" s="9" t="s">
        <v>209</v>
      </c>
      <c r="C34" s="9" t="s">
        <v>529</v>
      </c>
      <c r="D34" s="9" t="s">
        <v>525</v>
      </c>
      <c r="E34" s="9" t="s">
        <v>530</v>
      </c>
      <c r="F34" s="9" t="s">
        <v>531</v>
      </c>
      <c r="G34" s="9" t="s">
        <v>390</v>
      </c>
      <c r="H34" s="14" t="s">
        <v>390</v>
      </c>
      <c r="I34" s="9" t="s">
        <v>391</v>
      </c>
      <c r="J34" s="9" t="s">
        <v>3</v>
      </c>
      <c r="K34" s="9" t="s">
        <v>3</v>
      </c>
    </row>
    <row r="35" spans="1:11" s="8" customFormat="1" x14ac:dyDescent="0.25">
      <c r="A35" s="9" t="s">
        <v>532</v>
      </c>
      <c r="B35" s="9" t="s">
        <v>209</v>
      </c>
      <c r="C35" s="9" t="s">
        <v>533</v>
      </c>
      <c r="D35" s="9" t="s">
        <v>525</v>
      </c>
      <c r="E35" s="9" t="s">
        <v>534</v>
      </c>
      <c r="F35" s="9" t="s">
        <v>535</v>
      </c>
      <c r="G35" s="9" t="s">
        <v>390</v>
      </c>
      <c r="H35" s="14" t="s">
        <v>390</v>
      </c>
      <c r="I35" s="9" t="s">
        <v>391</v>
      </c>
      <c r="J35" s="9" t="s">
        <v>3</v>
      </c>
      <c r="K35" s="9" t="s">
        <v>3</v>
      </c>
    </row>
    <row r="36" spans="1:11" s="8" customFormat="1" x14ac:dyDescent="0.25">
      <c r="A36" s="9" t="s">
        <v>536</v>
      </c>
      <c r="B36" s="9" t="s">
        <v>209</v>
      </c>
      <c r="C36" s="9" t="s">
        <v>537</v>
      </c>
      <c r="D36" s="9" t="s">
        <v>525</v>
      </c>
      <c r="E36" s="9" t="s">
        <v>538</v>
      </c>
      <c r="F36" s="9" t="s">
        <v>539</v>
      </c>
      <c r="G36" s="9" t="s">
        <v>390</v>
      </c>
      <c r="H36" s="14" t="s">
        <v>390</v>
      </c>
      <c r="I36" s="9" t="s">
        <v>391</v>
      </c>
      <c r="J36" s="9" t="s">
        <v>3</v>
      </c>
      <c r="K36" s="9" t="s">
        <v>3</v>
      </c>
    </row>
    <row r="37" spans="1:11" s="8" customFormat="1" x14ac:dyDescent="0.25">
      <c r="A37" s="9" t="s">
        <v>540</v>
      </c>
      <c r="B37" s="9" t="s">
        <v>209</v>
      </c>
      <c r="C37" s="9" t="s">
        <v>541</v>
      </c>
      <c r="D37" s="9" t="s">
        <v>498</v>
      </c>
      <c r="E37" s="9" t="s">
        <v>542</v>
      </c>
      <c r="F37" s="9" t="s">
        <v>543</v>
      </c>
      <c r="G37" s="9" t="s">
        <v>544</v>
      </c>
      <c r="H37" s="15" t="s">
        <v>424</v>
      </c>
      <c r="I37" s="9" t="s">
        <v>545</v>
      </c>
      <c r="J37" s="9" t="s">
        <v>546</v>
      </c>
      <c r="K37" s="9" t="s">
        <v>3</v>
      </c>
    </row>
    <row r="38" spans="1:11" s="8" customFormat="1" x14ac:dyDescent="0.25">
      <c r="A38" s="9" t="s">
        <v>547</v>
      </c>
      <c r="B38" s="9" t="s">
        <v>209</v>
      </c>
      <c r="C38" s="9" t="s">
        <v>548</v>
      </c>
      <c r="D38" s="9" t="s">
        <v>549</v>
      </c>
      <c r="E38" s="9" t="s">
        <v>550</v>
      </c>
      <c r="F38" s="9" t="s">
        <v>551</v>
      </c>
      <c r="G38" s="9" t="s">
        <v>552</v>
      </c>
      <c r="H38" s="13" t="s">
        <v>346</v>
      </c>
      <c r="I38" s="9" t="s">
        <v>553</v>
      </c>
      <c r="J38" s="9" t="s">
        <v>554</v>
      </c>
      <c r="K38" s="9" t="s">
        <v>3</v>
      </c>
    </row>
    <row r="39" spans="1:11" s="8" customFormat="1" x14ac:dyDescent="0.25">
      <c r="A39" s="9" t="s">
        <v>555</v>
      </c>
      <c r="B39" s="9" t="s">
        <v>209</v>
      </c>
      <c r="C39" s="9" t="s">
        <v>556</v>
      </c>
      <c r="D39" s="9" t="s">
        <v>498</v>
      </c>
      <c r="E39" s="9" t="s">
        <v>557</v>
      </c>
      <c r="F39" s="9" t="s">
        <v>558</v>
      </c>
      <c r="G39" s="9" t="s">
        <v>559</v>
      </c>
      <c r="H39" s="13" t="s">
        <v>346</v>
      </c>
      <c r="I39" s="9" t="s">
        <v>560</v>
      </c>
      <c r="J39" s="9" t="s">
        <v>561</v>
      </c>
      <c r="K39" s="9" t="s">
        <v>3</v>
      </c>
    </row>
    <row r="40" spans="1:11" s="8" customFormat="1" x14ac:dyDescent="0.25">
      <c r="A40" s="9" t="s">
        <v>562</v>
      </c>
      <c r="B40" s="9" t="s">
        <v>209</v>
      </c>
      <c r="C40" s="9" t="s">
        <v>563</v>
      </c>
      <c r="D40" s="9" t="s">
        <v>564</v>
      </c>
      <c r="E40" s="9" t="s">
        <v>565</v>
      </c>
      <c r="F40" s="9" t="s">
        <v>566</v>
      </c>
      <c r="G40" s="9" t="s">
        <v>567</v>
      </c>
      <c r="H40" s="13" t="s">
        <v>346</v>
      </c>
      <c r="I40" s="9" t="s">
        <v>560</v>
      </c>
      <c r="J40" s="9" t="s">
        <v>3</v>
      </c>
      <c r="K40" s="9" t="s">
        <v>3</v>
      </c>
    </row>
    <row r="41" spans="1:11" s="8" customFormat="1" x14ac:dyDescent="0.25">
      <c r="A41" s="9" t="s">
        <v>568</v>
      </c>
      <c r="B41" s="9" t="s">
        <v>209</v>
      </c>
      <c r="C41" s="9" t="s">
        <v>569</v>
      </c>
      <c r="D41" s="9" t="s">
        <v>498</v>
      </c>
      <c r="E41" s="9" t="s">
        <v>570</v>
      </c>
      <c r="F41" s="9" t="s">
        <v>571</v>
      </c>
      <c r="G41" s="9" t="s">
        <v>572</v>
      </c>
      <c r="H41" s="13" t="s">
        <v>346</v>
      </c>
      <c r="I41" s="9" t="s">
        <v>347</v>
      </c>
      <c r="J41" s="9" t="s">
        <v>3</v>
      </c>
      <c r="K41" s="9" t="s">
        <v>3</v>
      </c>
    </row>
    <row r="42" spans="1:11" s="8" customFormat="1" x14ac:dyDescent="0.25">
      <c r="A42" s="9" t="s">
        <v>573</v>
      </c>
      <c r="B42" s="9" t="s">
        <v>209</v>
      </c>
      <c r="C42" s="9" t="s">
        <v>574</v>
      </c>
      <c r="D42" s="9" t="s">
        <v>575</v>
      </c>
      <c r="E42" s="9" t="s">
        <v>576</v>
      </c>
      <c r="F42" s="9" t="s">
        <v>577</v>
      </c>
      <c r="G42" s="9" t="s">
        <v>578</v>
      </c>
      <c r="H42" s="15" t="s">
        <v>424</v>
      </c>
      <c r="I42" s="9" t="s">
        <v>579</v>
      </c>
      <c r="J42" s="9" t="s">
        <v>580</v>
      </c>
      <c r="K42" s="9" t="s">
        <v>581</v>
      </c>
    </row>
    <row r="43" spans="1:11" s="8" customFormat="1" x14ac:dyDescent="0.25">
      <c r="A43" s="9" t="s">
        <v>582</v>
      </c>
      <c r="B43" s="9" t="s">
        <v>209</v>
      </c>
      <c r="C43" s="9" t="s">
        <v>583</v>
      </c>
      <c r="D43" s="9" t="s">
        <v>498</v>
      </c>
      <c r="E43" s="9" t="s">
        <v>584</v>
      </c>
      <c r="F43" s="9" t="s">
        <v>585</v>
      </c>
      <c r="G43" s="9" t="s">
        <v>586</v>
      </c>
      <c r="H43" s="13" t="s">
        <v>346</v>
      </c>
      <c r="I43" s="9" t="s">
        <v>347</v>
      </c>
      <c r="J43" s="9" t="s">
        <v>3</v>
      </c>
      <c r="K43" s="9" t="s">
        <v>587</v>
      </c>
    </row>
    <row r="44" spans="1:11" s="8" customFormat="1" x14ac:dyDescent="0.25">
      <c r="A44" s="9" t="s">
        <v>588</v>
      </c>
      <c r="B44" s="9" t="s">
        <v>209</v>
      </c>
      <c r="C44" s="9" t="s">
        <v>589</v>
      </c>
      <c r="D44" s="9" t="s">
        <v>498</v>
      </c>
      <c r="E44" s="9" t="s">
        <v>590</v>
      </c>
      <c r="F44" s="9" t="s">
        <v>591</v>
      </c>
      <c r="G44" s="9" t="s">
        <v>591</v>
      </c>
      <c r="H44" s="13" t="s">
        <v>346</v>
      </c>
      <c r="I44" s="9" t="s">
        <v>347</v>
      </c>
      <c r="J44" s="9" t="s">
        <v>3</v>
      </c>
      <c r="K44" s="9" t="s">
        <v>592</v>
      </c>
    </row>
    <row r="45" spans="1:11" s="8" customFormat="1" x14ac:dyDescent="0.25">
      <c r="A45" s="9" t="s">
        <v>593</v>
      </c>
      <c r="B45" s="9" t="s">
        <v>209</v>
      </c>
      <c r="C45" s="9" t="s">
        <v>594</v>
      </c>
      <c r="D45" s="9" t="s">
        <v>595</v>
      </c>
      <c r="E45" s="9" t="s">
        <v>596</v>
      </c>
      <c r="F45" s="9" t="s">
        <v>597</v>
      </c>
      <c r="G45" s="9" t="s">
        <v>598</v>
      </c>
      <c r="H45" s="13" t="s">
        <v>346</v>
      </c>
      <c r="I45" s="9" t="s">
        <v>347</v>
      </c>
      <c r="J45" s="9" t="s">
        <v>3</v>
      </c>
      <c r="K45" s="9" t="s">
        <v>599</v>
      </c>
    </row>
    <row r="46" spans="1:11" s="8" customFormat="1" x14ac:dyDescent="0.25">
      <c r="A46" s="9" t="s">
        <v>600</v>
      </c>
      <c r="B46" s="9" t="s">
        <v>209</v>
      </c>
      <c r="C46" s="9" t="s">
        <v>601</v>
      </c>
      <c r="D46" s="9" t="s">
        <v>602</v>
      </c>
      <c r="E46" s="9" t="s">
        <v>603</v>
      </c>
      <c r="F46" s="9" t="s">
        <v>604</v>
      </c>
      <c r="G46" s="9" t="s">
        <v>455</v>
      </c>
      <c r="H46" s="13" t="s">
        <v>346</v>
      </c>
      <c r="I46" s="9" t="s">
        <v>605</v>
      </c>
      <c r="J46" s="9" t="s">
        <v>3</v>
      </c>
      <c r="K46" s="9" t="s">
        <v>606</v>
      </c>
    </row>
    <row r="47" spans="1:11" s="8" customFormat="1" x14ac:dyDescent="0.25">
      <c r="A47" s="9" t="s">
        <v>607</v>
      </c>
      <c r="B47" s="9" t="s">
        <v>209</v>
      </c>
      <c r="C47" s="9" t="s">
        <v>608</v>
      </c>
      <c r="D47" s="9" t="s">
        <v>498</v>
      </c>
      <c r="E47" s="9" t="s">
        <v>609</v>
      </c>
      <c r="F47" s="9" t="s">
        <v>610</v>
      </c>
      <c r="G47" s="9" t="s">
        <v>611</v>
      </c>
      <c r="H47" s="14" t="s">
        <v>390</v>
      </c>
      <c r="I47" s="9" t="s">
        <v>391</v>
      </c>
      <c r="J47" s="9" t="s">
        <v>3</v>
      </c>
      <c r="K47" s="9" t="s">
        <v>3</v>
      </c>
    </row>
    <row r="48" spans="1:11" s="8" customFormat="1" x14ac:dyDescent="0.25">
      <c r="A48" s="9" t="s">
        <v>612</v>
      </c>
      <c r="B48" s="9" t="s">
        <v>209</v>
      </c>
      <c r="C48" s="9" t="s">
        <v>613</v>
      </c>
      <c r="D48" s="9" t="s">
        <v>614</v>
      </c>
      <c r="E48" s="9" t="s">
        <v>615</v>
      </c>
      <c r="F48" s="9" t="s">
        <v>616</v>
      </c>
      <c r="G48" s="9" t="s">
        <v>418</v>
      </c>
      <c r="H48" s="14" t="s">
        <v>390</v>
      </c>
      <c r="I48" s="9" t="s">
        <v>391</v>
      </c>
      <c r="J48" s="9" t="s">
        <v>3</v>
      </c>
      <c r="K48" s="9" t="s">
        <v>3</v>
      </c>
    </row>
    <row r="49" spans="1:11" s="8" customFormat="1" x14ac:dyDescent="0.25">
      <c r="A49" s="9" t="s">
        <v>617</v>
      </c>
      <c r="B49" s="9" t="s">
        <v>209</v>
      </c>
      <c r="C49" s="9" t="s">
        <v>618</v>
      </c>
      <c r="D49" s="9" t="s">
        <v>619</v>
      </c>
      <c r="E49" s="9" t="s">
        <v>620</v>
      </c>
      <c r="F49" s="9" t="s">
        <v>621</v>
      </c>
      <c r="G49" s="9" t="s">
        <v>418</v>
      </c>
      <c r="H49" s="14" t="s">
        <v>390</v>
      </c>
      <c r="I49" s="9" t="s">
        <v>391</v>
      </c>
      <c r="J49" s="9" t="s">
        <v>3</v>
      </c>
      <c r="K49" s="9" t="s">
        <v>3</v>
      </c>
    </row>
    <row r="50" spans="1:11" s="8" customFormat="1" x14ac:dyDescent="0.25">
      <c r="A50" s="9" t="s">
        <v>622</v>
      </c>
      <c r="B50" s="9" t="s">
        <v>209</v>
      </c>
      <c r="C50" s="9" t="s">
        <v>623</v>
      </c>
      <c r="D50" s="9" t="s">
        <v>624</v>
      </c>
      <c r="E50" s="9" t="s">
        <v>625</v>
      </c>
      <c r="F50" s="9" t="s">
        <v>626</v>
      </c>
      <c r="G50" s="9" t="s">
        <v>418</v>
      </c>
      <c r="H50" s="14" t="s">
        <v>390</v>
      </c>
      <c r="I50" s="9" t="s">
        <v>391</v>
      </c>
      <c r="J50" s="9" t="s">
        <v>3</v>
      </c>
      <c r="K50" s="9" t="s">
        <v>3</v>
      </c>
    </row>
    <row r="51" spans="1:11" s="8" customFormat="1" x14ac:dyDescent="0.25">
      <c r="A51" s="9" t="s">
        <v>627</v>
      </c>
      <c r="B51" s="9" t="s">
        <v>209</v>
      </c>
      <c r="C51" s="9" t="s">
        <v>628</v>
      </c>
      <c r="D51" s="9" t="s">
        <v>624</v>
      </c>
      <c r="E51" s="9" t="s">
        <v>629</v>
      </c>
      <c r="F51" s="9" t="s">
        <v>630</v>
      </c>
      <c r="G51" s="9" t="s">
        <v>631</v>
      </c>
      <c r="H51" s="13" t="s">
        <v>346</v>
      </c>
      <c r="I51" s="9" t="s">
        <v>347</v>
      </c>
      <c r="J51" s="9" t="s">
        <v>3</v>
      </c>
      <c r="K51" s="9" t="s">
        <v>3</v>
      </c>
    </row>
    <row r="52" spans="1:11" s="8" customFormat="1" x14ac:dyDescent="0.25">
      <c r="A52" s="9" t="s">
        <v>632</v>
      </c>
      <c r="B52" s="9" t="s">
        <v>209</v>
      </c>
      <c r="C52" s="9" t="s">
        <v>633</v>
      </c>
      <c r="D52" s="9" t="s">
        <v>549</v>
      </c>
      <c r="E52" s="9" t="s">
        <v>634</v>
      </c>
      <c r="F52" s="9" t="s">
        <v>635</v>
      </c>
      <c r="G52" s="9" t="s">
        <v>636</v>
      </c>
      <c r="H52" s="14" t="s">
        <v>390</v>
      </c>
      <c r="I52" s="9" t="s">
        <v>391</v>
      </c>
      <c r="J52" s="9" t="s">
        <v>3</v>
      </c>
      <c r="K52" s="9" t="s">
        <v>3</v>
      </c>
    </row>
    <row r="53" spans="1:11" s="8" customFormat="1" x14ac:dyDescent="0.25">
      <c r="A53" s="9" t="s">
        <v>637</v>
      </c>
      <c r="B53" s="9" t="s">
        <v>209</v>
      </c>
      <c r="C53" s="9" t="s">
        <v>638</v>
      </c>
      <c r="D53" s="9" t="s">
        <v>391</v>
      </c>
      <c r="E53" s="9" t="s">
        <v>639</v>
      </c>
      <c r="F53" s="9" t="s">
        <v>640</v>
      </c>
      <c r="G53" s="9" t="s">
        <v>641</v>
      </c>
      <c r="H53" s="14" t="s">
        <v>390</v>
      </c>
      <c r="I53" s="9" t="s">
        <v>391</v>
      </c>
      <c r="J53" s="9" t="s">
        <v>3</v>
      </c>
      <c r="K53" s="9" t="s">
        <v>3</v>
      </c>
    </row>
    <row r="54" spans="1:11" s="8" customFormat="1" x14ac:dyDescent="0.25">
      <c r="A54" s="9" t="s">
        <v>642</v>
      </c>
      <c r="B54" s="9" t="s">
        <v>209</v>
      </c>
      <c r="C54" s="9" t="s">
        <v>643</v>
      </c>
      <c r="D54" s="9" t="s">
        <v>391</v>
      </c>
      <c r="E54" s="9" t="s">
        <v>644</v>
      </c>
      <c r="F54" s="9" t="s">
        <v>645</v>
      </c>
      <c r="G54" s="9" t="s">
        <v>646</v>
      </c>
      <c r="H54" s="14" t="s">
        <v>390</v>
      </c>
      <c r="I54" s="9" t="s">
        <v>391</v>
      </c>
      <c r="J54" s="9" t="s">
        <v>3</v>
      </c>
      <c r="K54" s="9" t="s">
        <v>3</v>
      </c>
    </row>
    <row r="55" spans="1:11" s="8" customFormat="1" x14ac:dyDescent="0.25">
      <c r="A55" s="9" t="s">
        <v>647</v>
      </c>
      <c r="B55" s="9" t="s">
        <v>209</v>
      </c>
      <c r="C55" s="9" t="s">
        <v>648</v>
      </c>
      <c r="D55" s="9" t="s">
        <v>649</v>
      </c>
      <c r="E55" s="9" t="s">
        <v>650</v>
      </c>
      <c r="F55" s="9" t="s">
        <v>651</v>
      </c>
      <c r="G55" s="9" t="s">
        <v>652</v>
      </c>
      <c r="H55" s="15" t="s">
        <v>424</v>
      </c>
      <c r="I55" s="9" t="s">
        <v>347</v>
      </c>
      <c r="J55" s="9" t="s">
        <v>653</v>
      </c>
      <c r="K55" s="9" t="s">
        <v>3</v>
      </c>
    </row>
    <row r="56" spans="1:11" s="8" customFormat="1" x14ac:dyDescent="0.25">
      <c r="A56" s="9" t="s">
        <v>654</v>
      </c>
      <c r="B56" s="9" t="s">
        <v>209</v>
      </c>
      <c r="C56" s="9" t="s">
        <v>655</v>
      </c>
      <c r="D56" s="9" t="s">
        <v>624</v>
      </c>
      <c r="E56" s="9" t="s">
        <v>656</v>
      </c>
      <c r="F56" s="9" t="s">
        <v>657</v>
      </c>
      <c r="G56" s="9" t="s">
        <v>658</v>
      </c>
      <c r="H56" s="15" t="s">
        <v>424</v>
      </c>
      <c r="I56" s="9" t="s">
        <v>347</v>
      </c>
      <c r="J56" s="9" t="s">
        <v>659</v>
      </c>
      <c r="K56" s="9" t="s">
        <v>3</v>
      </c>
    </row>
    <row r="57" spans="1:11" s="8" customFormat="1" x14ac:dyDescent="0.25">
      <c r="A57" s="9" t="s">
        <v>660</v>
      </c>
      <c r="B57" s="9" t="s">
        <v>209</v>
      </c>
      <c r="C57" s="9" t="s">
        <v>661</v>
      </c>
      <c r="D57" s="9" t="s">
        <v>662</v>
      </c>
      <c r="E57" s="9" t="s">
        <v>663</v>
      </c>
      <c r="F57" s="9" t="s">
        <v>664</v>
      </c>
      <c r="G57" s="9" t="s">
        <v>665</v>
      </c>
      <c r="H57" s="13" t="s">
        <v>346</v>
      </c>
      <c r="I57" s="9" t="s">
        <v>347</v>
      </c>
      <c r="J57" s="9" t="s">
        <v>3</v>
      </c>
      <c r="K57" s="9" t="s">
        <v>666</v>
      </c>
    </row>
    <row r="58" spans="1:11" s="8" customFormat="1" x14ac:dyDescent="0.25">
      <c r="A58" s="9" t="s">
        <v>667</v>
      </c>
      <c r="B58" s="9" t="s">
        <v>209</v>
      </c>
      <c r="C58" s="9" t="s">
        <v>668</v>
      </c>
      <c r="D58" s="9" t="s">
        <v>669</v>
      </c>
      <c r="E58" s="9" t="s">
        <v>670</v>
      </c>
      <c r="F58" s="9" t="s">
        <v>671</v>
      </c>
      <c r="G58" s="9" t="s">
        <v>672</v>
      </c>
      <c r="H58" s="13" t="s">
        <v>346</v>
      </c>
      <c r="I58" s="9" t="s">
        <v>347</v>
      </c>
      <c r="J58" s="9" t="s">
        <v>3</v>
      </c>
      <c r="K58" s="9" t="s">
        <v>666</v>
      </c>
    </row>
    <row r="59" spans="1:11" s="8" customFormat="1" x14ac:dyDescent="0.25">
      <c r="A59" s="9" t="s">
        <v>673</v>
      </c>
      <c r="B59" s="9" t="s">
        <v>209</v>
      </c>
      <c r="C59" s="9" t="s">
        <v>674</v>
      </c>
      <c r="D59" s="9" t="s">
        <v>675</v>
      </c>
      <c r="E59" s="9" t="s">
        <v>676</v>
      </c>
      <c r="F59" s="9" t="s">
        <v>677</v>
      </c>
      <c r="G59" s="9" t="s">
        <v>678</v>
      </c>
      <c r="H59" s="13" t="s">
        <v>346</v>
      </c>
      <c r="I59" s="9" t="s">
        <v>347</v>
      </c>
      <c r="J59" s="9" t="s">
        <v>3</v>
      </c>
      <c r="K59" s="9" t="s">
        <v>666</v>
      </c>
    </row>
    <row r="60" spans="1:11" s="8" customFormat="1" x14ac:dyDescent="0.25">
      <c r="A60" s="9" t="s">
        <v>679</v>
      </c>
      <c r="B60" s="9" t="s">
        <v>209</v>
      </c>
      <c r="C60" s="9" t="s">
        <v>680</v>
      </c>
      <c r="D60" s="9" t="s">
        <v>681</v>
      </c>
      <c r="E60" s="9" t="s">
        <v>682</v>
      </c>
      <c r="F60" s="9" t="s">
        <v>683</v>
      </c>
      <c r="G60" s="9" t="s">
        <v>455</v>
      </c>
      <c r="H60" s="13" t="s">
        <v>346</v>
      </c>
      <c r="I60" s="9" t="s">
        <v>347</v>
      </c>
      <c r="J60" s="9" t="s">
        <v>3</v>
      </c>
      <c r="K60" s="9" t="s">
        <v>666</v>
      </c>
    </row>
    <row r="61" spans="1:11" s="8" customFormat="1" x14ac:dyDescent="0.25">
      <c r="A61" s="9" t="s">
        <v>684</v>
      </c>
      <c r="B61" s="9" t="s">
        <v>209</v>
      </c>
      <c r="C61" s="9" t="s">
        <v>685</v>
      </c>
      <c r="D61" s="9" t="s">
        <v>686</v>
      </c>
      <c r="E61" s="9" t="s">
        <v>687</v>
      </c>
      <c r="F61" s="9" t="s">
        <v>688</v>
      </c>
      <c r="G61" s="9" t="s">
        <v>455</v>
      </c>
      <c r="H61" s="13" t="s">
        <v>346</v>
      </c>
      <c r="I61" s="9" t="s">
        <v>347</v>
      </c>
      <c r="J61" s="9" t="s">
        <v>3</v>
      </c>
      <c r="K61" s="9" t="s">
        <v>666</v>
      </c>
    </row>
    <row r="62" spans="1:11" s="8" customFormat="1" x14ac:dyDescent="0.25">
      <c r="A62" s="9" t="s">
        <v>689</v>
      </c>
      <c r="B62" s="9" t="s">
        <v>209</v>
      </c>
      <c r="C62" s="9" t="s">
        <v>690</v>
      </c>
      <c r="D62" s="9" t="s">
        <v>691</v>
      </c>
      <c r="E62" s="9" t="s">
        <v>692</v>
      </c>
      <c r="F62" s="9" t="s">
        <v>693</v>
      </c>
      <c r="G62" s="9" t="s">
        <v>694</v>
      </c>
      <c r="H62" s="13" t="s">
        <v>346</v>
      </c>
      <c r="I62" s="9" t="s">
        <v>347</v>
      </c>
      <c r="J62" s="9" t="s">
        <v>3</v>
      </c>
      <c r="K62" s="9" t="s">
        <v>666</v>
      </c>
    </row>
    <row r="63" spans="1:11" s="8" customFormat="1" x14ac:dyDescent="0.25">
      <c r="A63" s="9" t="s">
        <v>695</v>
      </c>
      <c r="B63" s="9" t="s">
        <v>209</v>
      </c>
      <c r="C63" s="9" t="s">
        <v>696</v>
      </c>
      <c r="D63" s="9" t="s">
        <v>697</v>
      </c>
      <c r="E63" s="9" t="s">
        <v>698</v>
      </c>
      <c r="F63" s="9" t="s">
        <v>699</v>
      </c>
      <c r="G63" s="9" t="s">
        <v>700</v>
      </c>
      <c r="H63" s="13" t="s">
        <v>346</v>
      </c>
      <c r="I63" s="9" t="s">
        <v>347</v>
      </c>
      <c r="J63" s="9" t="s">
        <v>3</v>
      </c>
      <c r="K63" s="9" t="s">
        <v>666</v>
      </c>
    </row>
    <row r="64" spans="1:11" s="8" customFormat="1" x14ac:dyDescent="0.25">
      <c r="A64" s="9" t="s">
        <v>701</v>
      </c>
      <c r="B64" s="9" t="s">
        <v>209</v>
      </c>
      <c r="C64" s="9" t="s">
        <v>702</v>
      </c>
      <c r="D64" s="9" t="s">
        <v>452</v>
      </c>
      <c r="E64" s="9" t="s">
        <v>475</v>
      </c>
      <c r="F64" s="9" t="s">
        <v>703</v>
      </c>
      <c r="G64" s="9" t="s">
        <v>704</v>
      </c>
      <c r="H64" s="13" t="s">
        <v>346</v>
      </c>
      <c r="I64" s="9" t="s">
        <v>347</v>
      </c>
      <c r="J64" s="9" t="s">
        <v>3</v>
      </c>
      <c r="K64" s="9" t="s">
        <v>666</v>
      </c>
    </row>
    <row r="65" spans="1:11" s="8" customFormat="1" x14ac:dyDescent="0.25">
      <c r="A65" s="9" t="s">
        <v>705</v>
      </c>
      <c r="B65" s="9" t="s">
        <v>209</v>
      </c>
      <c r="C65" s="9" t="s">
        <v>706</v>
      </c>
      <c r="D65" s="9" t="s">
        <v>452</v>
      </c>
      <c r="E65" s="9" t="s">
        <v>707</v>
      </c>
      <c r="F65" s="9" t="s">
        <v>708</v>
      </c>
      <c r="G65" s="9" t="s">
        <v>709</v>
      </c>
      <c r="H65" s="13" t="s">
        <v>346</v>
      </c>
      <c r="I65" s="9" t="s">
        <v>347</v>
      </c>
      <c r="J65" s="9" t="s">
        <v>3</v>
      </c>
      <c r="K65" s="9" t="s">
        <v>666</v>
      </c>
    </row>
    <row r="66" spans="1:11" s="8" customFormat="1" x14ac:dyDescent="0.25">
      <c r="A66" s="9" t="s">
        <v>710</v>
      </c>
      <c r="B66" s="9" t="s">
        <v>209</v>
      </c>
      <c r="C66" s="9" t="s">
        <v>711</v>
      </c>
      <c r="D66" s="9" t="s">
        <v>712</v>
      </c>
      <c r="E66" s="9" t="s">
        <v>713</v>
      </c>
      <c r="F66" s="9" t="s">
        <v>714</v>
      </c>
      <c r="G66" s="9" t="s">
        <v>715</v>
      </c>
      <c r="H66" s="13" t="s">
        <v>346</v>
      </c>
      <c r="I66" s="9" t="s">
        <v>347</v>
      </c>
      <c r="J66" s="9" t="s">
        <v>3</v>
      </c>
      <c r="K66" s="9" t="s">
        <v>666</v>
      </c>
    </row>
    <row r="67" spans="1:11" s="8" customFormat="1" x14ac:dyDescent="0.25">
      <c r="A67" s="9" t="s">
        <v>716</v>
      </c>
      <c r="B67" s="9" t="s">
        <v>209</v>
      </c>
      <c r="C67" s="9" t="s">
        <v>717</v>
      </c>
      <c r="D67" s="9" t="s">
        <v>718</v>
      </c>
      <c r="E67" s="9" t="s">
        <v>526</v>
      </c>
      <c r="F67" s="9" t="s">
        <v>719</v>
      </c>
      <c r="G67" s="9" t="s">
        <v>720</v>
      </c>
      <c r="H67" s="13" t="s">
        <v>346</v>
      </c>
      <c r="I67" s="9" t="s">
        <v>347</v>
      </c>
      <c r="J67" s="9" t="s">
        <v>3</v>
      </c>
      <c r="K67" s="9" t="s">
        <v>666</v>
      </c>
    </row>
    <row r="68" spans="1:11" s="8" customFormat="1" x14ac:dyDescent="0.25">
      <c r="A68" s="9" t="s">
        <v>320</v>
      </c>
      <c r="B68" s="9" t="s">
        <v>209</v>
      </c>
      <c r="C68" s="9" t="s">
        <v>721</v>
      </c>
      <c r="D68" s="9" t="s">
        <v>722</v>
      </c>
      <c r="E68" s="9" t="s">
        <v>723</v>
      </c>
      <c r="F68" s="9" t="s">
        <v>724</v>
      </c>
      <c r="G68" s="9" t="s">
        <v>725</v>
      </c>
      <c r="H68" s="14" t="s">
        <v>390</v>
      </c>
      <c r="I68" s="9" t="s">
        <v>391</v>
      </c>
      <c r="J68" s="9" t="s">
        <v>3</v>
      </c>
      <c r="K68" s="9" t="s">
        <v>666</v>
      </c>
    </row>
    <row r="69" spans="1:11" s="8" customFormat="1" x14ac:dyDescent="0.25">
      <c r="A69" s="9" t="s">
        <v>323</v>
      </c>
      <c r="B69" s="9" t="s">
        <v>209</v>
      </c>
      <c r="C69" s="9" t="s">
        <v>726</v>
      </c>
      <c r="D69" s="9" t="s">
        <v>727</v>
      </c>
      <c r="E69" s="9" t="s">
        <v>728</v>
      </c>
      <c r="F69" s="9" t="s">
        <v>729</v>
      </c>
      <c r="G69" s="9" t="s">
        <v>418</v>
      </c>
      <c r="H69" s="14" t="s">
        <v>390</v>
      </c>
      <c r="I69" s="9" t="s">
        <v>391</v>
      </c>
      <c r="J69" s="9" t="s">
        <v>3</v>
      </c>
      <c r="K69" s="9" t="s">
        <v>666</v>
      </c>
    </row>
    <row r="70" spans="1:11" s="8" customFormat="1" x14ac:dyDescent="0.25">
      <c r="A70" s="9" t="s">
        <v>326</v>
      </c>
      <c r="B70" s="9" t="s">
        <v>209</v>
      </c>
      <c r="C70" s="9" t="s">
        <v>730</v>
      </c>
      <c r="D70" s="9" t="s">
        <v>731</v>
      </c>
      <c r="E70" s="9" t="s">
        <v>732</v>
      </c>
      <c r="F70" s="9" t="s">
        <v>733</v>
      </c>
      <c r="G70" s="9" t="s">
        <v>418</v>
      </c>
      <c r="H70" s="14" t="s">
        <v>390</v>
      </c>
      <c r="I70" s="9" t="s">
        <v>391</v>
      </c>
      <c r="J70" s="9" t="s">
        <v>3</v>
      </c>
      <c r="K70" s="9" t="s">
        <v>666</v>
      </c>
    </row>
    <row r="71" spans="1:11" s="8" customFormat="1" x14ac:dyDescent="0.25">
      <c r="A71" s="9" t="s">
        <v>734</v>
      </c>
      <c r="B71" s="9" t="s">
        <v>209</v>
      </c>
      <c r="C71" s="9" t="s">
        <v>735</v>
      </c>
      <c r="D71" s="9" t="s">
        <v>736</v>
      </c>
      <c r="E71" s="9" t="s">
        <v>435</v>
      </c>
      <c r="F71" s="9" t="s">
        <v>737</v>
      </c>
      <c r="G71" s="9" t="s">
        <v>738</v>
      </c>
      <c r="H71" s="15" t="s">
        <v>424</v>
      </c>
      <c r="I71" s="9" t="s">
        <v>739</v>
      </c>
      <c r="J71" s="9" t="s">
        <v>740</v>
      </c>
      <c r="K71" s="9" t="s">
        <v>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26" customWidth="1"/>
    <col min="4" max="6" width="48" customWidth="1"/>
    <col min="7" max="7" width="16" customWidth="1"/>
  </cols>
  <sheetData>
    <row r="1" ht="26" customHeight="1" spans="1:7" s="6" customFormat="1" x14ac:dyDescent="0.25">
      <c r="A1" s="7" t="s">
        <v>117</v>
      </c>
      <c r="B1" s="7" t="s">
        <v>741</v>
      </c>
      <c r="C1" s="7" t="s">
        <v>742</v>
      </c>
      <c r="D1" s="7" t="s">
        <v>119</v>
      </c>
      <c r="E1" s="7" t="s">
        <v>743</v>
      </c>
      <c r="F1" s="7" t="s">
        <v>744</v>
      </c>
      <c r="G1" s="7" t="s">
        <v>745</v>
      </c>
    </row>
    <row r="2" spans="1:7" s="8" customFormat="1" x14ac:dyDescent="0.25">
      <c r="A2" s="9" t="s">
        <v>546</v>
      </c>
      <c r="B2" s="9" t="s">
        <v>746</v>
      </c>
      <c r="C2" s="9" t="s">
        <v>747</v>
      </c>
      <c r="D2" s="9" t="s">
        <v>748</v>
      </c>
      <c r="E2" s="9" t="s">
        <v>749</v>
      </c>
      <c r="F2" s="9" t="s">
        <v>750</v>
      </c>
      <c r="G2" s="9" t="s">
        <v>751</v>
      </c>
    </row>
    <row r="3" spans="1:7" s="8" customFormat="1" x14ac:dyDescent="0.25">
      <c r="A3" s="9" t="s">
        <v>554</v>
      </c>
      <c r="B3" s="9" t="s">
        <v>746</v>
      </c>
      <c r="C3" s="9" t="s">
        <v>752</v>
      </c>
      <c r="D3" s="9" t="s">
        <v>753</v>
      </c>
      <c r="E3" s="9" t="s">
        <v>754</v>
      </c>
      <c r="F3" s="9" t="s">
        <v>755</v>
      </c>
      <c r="G3" s="9" t="s">
        <v>756</v>
      </c>
    </row>
    <row r="4" spans="1:7" s="8" customFormat="1" x14ac:dyDescent="0.25">
      <c r="A4" s="9" t="s">
        <v>561</v>
      </c>
      <c r="B4" s="9" t="s">
        <v>746</v>
      </c>
      <c r="C4" s="9" t="s">
        <v>757</v>
      </c>
      <c r="D4" s="9" t="s">
        <v>758</v>
      </c>
      <c r="E4" s="9" t="s">
        <v>759</v>
      </c>
      <c r="F4" s="9" t="s">
        <v>760</v>
      </c>
      <c r="G4" s="9" t="s">
        <v>761</v>
      </c>
    </row>
    <row r="5" spans="1:7" s="8" customFormat="1" x14ac:dyDescent="0.25">
      <c r="A5" s="9" t="s">
        <v>580</v>
      </c>
      <c r="B5" s="9" t="s">
        <v>762</v>
      </c>
      <c r="C5" s="9" t="s">
        <v>763</v>
      </c>
      <c r="D5" s="9" t="s">
        <v>764</v>
      </c>
      <c r="E5" s="9" t="s">
        <v>765</v>
      </c>
      <c r="F5" s="9" t="s">
        <v>766</v>
      </c>
      <c r="G5" s="9" t="s">
        <v>767</v>
      </c>
    </row>
    <row r="6" spans="1:7" s="8" customFormat="1" x14ac:dyDescent="0.25">
      <c r="A6" s="9" t="s">
        <v>768</v>
      </c>
      <c r="B6" s="9" t="s">
        <v>769</v>
      </c>
      <c r="C6" s="9" t="s">
        <v>770</v>
      </c>
      <c r="D6" s="9" t="s">
        <v>771</v>
      </c>
      <c r="E6" s="9" t="s">
        <v>772</v>
      </c>
      <c r="F6" s="9" t="s">
        <v>773</v>
      </c>
      <c r="G6" s="9" t="s">
        <v>774</v>
      </c>
    </row>
    <row r="7" spans="1:7" s="8" customFormat="1" x14ac:dyDescent="0.25">
      <c r="A7" s="9" t="s">
        <v>740</v>
      </c>
      <c r="B7" s="9" t="s">
        <v>769</v>
      </c>
      <c r="C7" s="9" t="s">
        <v>770</v>
      </c>
      <c r="D7" s="9" t="s">
        <v>775</v>
      </c>
      <c r="E7" s="9" t="s">
        <v>776</v>
      </c>
      <c r="F7" s="9" t="s">
        <v>777</v>
      </c>
      <c r="G7" s="9" t="s">
        <v>774</v>
      </c>
    </row>
    <row r="8" spans="1:7" s="8" customFormat="1" x14ac:dyDescent="0.25">
      <c r="A8" s="9" t="s">
        <v>778</v>
      </c>
      <c r="B8" s="9" t="s">
        <v>769</v>
      </c>
      <c r="C8" s="9" t="s">
        <v>779</v>
      </c>
      <c r="D8" s="9" t="s">
        <v>780</v>
      </c>
      <c r="E8" s="9" t="s">
        <v>781</v>
      </c>
      <c r="F8" s="9" t="s">
        <v>782</v>
      </c>
      <c r="G8" s="9" t="s">
        <v>774</v>
      </c>
    </row>
    <row r="9" spans="1:7" s="8" customFormat="1" x14ac:dyDescent="0.25">
      <c r="A9" s="9" t="s">
        <v>425</v>
      </c>
      <c r="B9" s="9" t="s">
        <v>769</v>
      </c>
      <c r="C9" s="9" t="s">
        <v>779</v>
      </c>
      <c r="D9" s="9" t="s">
        <v>783</v>
      </c>
      <c r="E9" s="9" t="s">
        <v>784</v>
      </c>
      <c r="F9" s="9" t="s">
        <v>785</v>
      </c>
      <c r="G9" s="9" t="s">
        <v>786</v>
      </c>
    </row>
    <row r="10" spans="1:7" s="8" customFormat="1" x14ac:dyDescent="0.25">
      <c r="A10" s="9" t="s">
        <v>432</v>
      </c>
      <c r="B10" s="9" t="s">
        <v>762</v>
      </c>
      <c r="C10" s="9" t="s">
        <v>779</v>
      </c>
      <c r="D10" s="9" t="s">
        <v>787</v>
      </c>
      <c r="E10" s="9" t="s">
        <v>788</v>
      </c>
      <c r="F10" s="9" t="s">
        <v>789</v>
      </c>
      <c r="G10" s="9" t="s">
        <v>790</v>
      </c>
    </row>
    <row r="11" spans="1:7" s="8" customFormat="1" x14ac:dyDescent="0.25">
      <c r="A11" s="9" t="s">
        <v>653</v>
      </c>
      <c r="B11" s="9" t="s">
        <v>769</v>
      </c>
      <c r="C11" s="9" t="s">
        <v>779</v>
      </c>
      <c r="D11" s="9" t="s">
        <v>791</v>
      </c>
      <c r="E11" s="9" t="s">
        <v>792</v>
      </c>
      <c r="F11" s="9" t="s">
        <v>793</v>
      </c>
      <c r="G11" s="9" t="s">
        <v>794</v>
      </c>
    </row>
    <row r="12" spans="1:7" s="8" customFormat="1" x14ac:dyDescent="0.25">
      <c r="A12" s="9" t="s">
        <v>795</v>
      </c>
      <c r="B12" s="9" t="s">
        <v>769</v>
      </c>
      <c r="C12" s="9" t="s">
        <v>779</v>
      </c>
      <c r="D12" s="9" t="s">
        <v>796</v>
      </c>
      <c r="E12" s="9" t="s">
        <v>797</v>
      </c>
      <c r="F12" s="9" t="s">
        <v>798</v>
      </c>
      <c r="G12" s="9" t="s">
        <v>774</v>
      </c>
    </row>
    <row r="13" spans="1:7" s="8" customFormat="1" x14ac:dyDescent="0.25">
      <c r="A13" s="9" t="s">
        <v>799</v>
      </c>
      <c r="B13" s="9" t="s">
        <v>762</v>
      </c>
      <c r="C13" s="9" t="s">
        <v>770</v>
      </c>
      <c r="D13" s="9" t="s">
        <v>800</v>
      </c>
      <c r="E13" s="9" t="s">
        <v>801</v>
      </c>
      <c r="F13" s="9" t="s">
        <v>802</v>
      </c>
      <c r="G13" s="9" t="s">
        <v>803</v>
      </c>
    </row>
    <row r="14" spans="1:7" s="8" customFormat="1" x14ac:dyDescent="0.25">
      <c r="A14" s="9" t="s">
        <v>659</v>
      </c>
      <c r="B14" s="9" t="s">
        <v>769</v>
      </c>
      <c r="C14" s="9" t="s">
        <v>779</v>
      </c>
      <c r="D14" s="9" t="s">
        <v>804</v>
      </c>
      <c r="E14" s="9" t="s">
        <v>805</v>
      </c>
      <c r="F14" s="9" t="s">
        <v>806</v>
      </c>
      <c r="G14" s="9" t="s">
        <v>807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56" customWidth="1"/>
    <col min="5" max="5" width="44" customWidth="1"/>
    <col min="6" max="6" width="48" customWidth="1"/>
    <col min="7" max="7" width="20" customWidth="1"/>
  </cols>
  <sheetData>
    <row r="1" ht="26" customHeight="1" spans="1:7" s="6" customFormat="1" x14ac:dyDescent="0.25">
      <c r="A1" s="7" t="s">
        <v>117</v>
      </c>
      <c r="B1" s="7" t="s">
        <v>808</v>
      </c>
      <c r="C1" s="7" t="s">
        <v>809</v>
      </c>
      <c r="D1" s="7" t="s">
        <v>331</v>
      </c>
      <c r="E1" s="7" t="s">
        <v>10</v>
      </c>
      <c r="F1" s="7" t="s">
        <v>810</v>
      </c>
      <c r="G1" s="7" t="s">
        <v>122</v>
      </c>
    </row>
    <row r="2" spans="1:7" s="8" customFormat="1" x14ac:dyDescent="0.25">
      <c r="A2" s="9" t="s">
        <v>811</v>
      </c>
      <c r="B2" s="9" t="s">
        <v>812</v>
      </c>
      <c r="C2" s="9" t="s">
        <v>770</v>
      </c>
      <c r="D2" s="9" t="s">
        <v>813</v>
      </c>
      <c r="E2" s="9" t="s">
        <v>814</v>
      </c>
      <c r="F2" s="9" t="s">
        <v>815</v>
      </c>
      <c r="G2" s="9" t="s">
        <v>816</v>
      </c>
    </row>
    <row r="3" spans="1:7" s="8" customFormat="1" x14ac:dyDescent="0.25">
      <c r="A3" s="9" t="s">
        <v>817</v>
      </c>
      <c r="B3" s="9" t="s">
        <v>812</v>
      </c>
      <c r="C3" s="9" t="s">
        <v>770</v>
      </c>
      <c r="D3" s="9" t="s">
        <v>818</v>
      </c>
      <c r="E3" s="9" t="s">
        <v>814</v>
      </c>
      <c r="F3" s="9" t="s">
        <v>819</v>
      </c>
      <c r="G3" s="9" t="s">
        <v>816</v>
      </c>
    </row>
    <row r="4" spans="1:7" s="8" customFormat="1" x14ac:dyDescent="0.25">
      <c r="A4" s="9" t="s">
        <v>820</v>
      </c>
      <c r="B4" s="9" t="s">
        <v>812</v>
      </c>
      <c r="C4" s="9" t="s">
        <v>770</v>
      </c>
      <c r="D4" s="9" t="s">
        <v>821</v>
      </c>
      <c r="E4" s="9" t="s">
        <v>814</v>
      </c>
      <c r="F4" s="9" t="s">
        <v>822</v>
      </c>
      <c r="G4" s="9" t="s">
        <v>816</v>
      </c>
    </row>
    <row r="5" spans="1:7" s="8" customFormat="1" x14ac:dyDescent="0.25">
      <c r="A5" s="9" t="s">
        <v>823</v>
      </c>
      <c r="B5" s="9" t="s">
        <v>812</v>
      </c>
      <c r="C5" s="9" t="s">
        <v>770</v>
      </c>
      <c r="D5" s="9" t="s">
        <v>824</v>
      </c>
      <c r="E5" s="9" t="s">
        <v>814</v>
      </c>
      <c r="F5" s="9" t="s">
        <v>825</v>
      </c>
      <c r="G5" s="9" t="s">
        <v>816</v>
      </c>
    </row>
    <row r="6" spans="1:7" s="8" customFormat="1" x14ac:dyDescent="0.25">
      <c r="A6" s="9" t="s">
        <v>826</v>
      </c>
      <c r="B6" s="9" t="s">
        <v>812</v>
      </c>
      <c r="C6" s="9" t="s">
        <v>770</v>
      </c>
      <c r="D6" s="9" t="s">
        <v>827</v>
      </c>
      <c r="E6" s="9" t="s">
        <v>828</v>
      </c>
      <c r="F6" s="9" t="s">
        <v>829</v>
      </c>
      <c r="G6" s="9" t="s">
        <v>816</v>
      </c>
    </row>
    <row r="7" spans="1:7" s="8" customFormat="1" x14ac:dyDescent="0.25">
      <c r="A7" s="9" t="s">
        <v>830</v>
      </c>
      <c r="B7" s="9" t="s">
        <v>812</v>
      </c>
      <c r="C7" s="9" t="s">
        <v>770</v>
      </c>
      <c r="D7" s="9" t="s">
        <v>831</v>
      </c>
      <c r="E7" s="9" t="s">
        <v>832</v>
      </c>
      <c r="F7" s="9" t="s">
        <v>833</v>
      </c>
      <c r="G7" s="9" t="s">
        <v>816</v>
      </c>
    </row>
    <row r="8" spans="1:7" s="8" customFormat="1" x14ac:dyDescent="0.25">
      <c r="A8" s="9" t="s">
        <v>834</v>
      </c>
      <c r="B8" s="9" t="s">
        <v>812</v>
      </c>
      <c r="C8" s="9" t="s">
        <v>770</v>
      </c>
      <c r="D8" s="9" t="s">
        <v>835</v>
      </c>
      <c r="E8" s="9" t="s">
        <v>836</v>
      </c>
      <c r="F8" s="9" t="s">
        <v>837</v>
      </c>
      <c r="G8" s="9" t="s">
        <v>816</v>
      </c>
    </row>
    <row r="9" spans="1:7" s="8" customFormat="1" x14ac:dyDescent="0.25">
      <c r="A9" s="9" t="s">
        <v>838</v>
      </c>
      <c r="B9" s="9" t="s">
        <v>812</v>
      </c>
      <c r="C9" s="9" t="s">
        <v>770</v>
      </c>
      <c r="D9" s="9" t="s">
        <v>839</v>
      </c>
      <c r="E9" s="9" t="s">
        <v>840</v>
      </c>
      <c r="F9" s="9" t="s">
        <v>841</v>
      </c>
      <c r="G9" s="9" t="s">
        <v>816</v>
      </c>
    </row>
    <row r="10" spans="1:7" s="8" customFormat="1" x14ac:dyDescent="0.25">
      <c r="A10" s="9" t="s">
        <v>842</v>
      </c>
      <c r="B10" s="9" t="s">
        <v>812</v>
      </c>
      <c r="C10" s="9" t="s">
        <v>770</v>
      </c>
      <c r="D10" s="9" t="s">
        <v>843</v>
      </c>
      <c r="E10" s="9" t="s">
        <v>844</v>
      </c>
      <c r="F10" s="9" t="s">
        <v>845</v>
      </c>
      <c r="G10" s="9" t="s">
        <v>816</v>
      </c>
    </row>
    <row r="11" spans="1:7" s="8" customFormat="1" x14ac:dyDescent="0.25">
      <c r="A11" s="9" t="s">
        <v>846</v>
      </c>
      <c r="B11" s="9" t="s">
        <v>812</v>
      </c>
      <c r="C11" s="9" t="s">
        <v>770</v>
      </c>
      <c r="D11" s="9" t="s">
        <v>847</v>
      </c>
      <c r="E11" s="9" t="s">
        <v>848</v>
      </c>
      <c r="F11" s="9" t="s">
        <v>849</v>
      </c>
      <c r="G11" s="9" t="s">
        <v>816</v>
      </c>
    </row>
    <row r="12" spans="1:7" s="8" customFormat="1" x14ac:dyDescent="0.25">
      <c r="A12" s="9" t="s">
        <v>462</v>
      </c>
      <c r="B12" s="9" t="s">
        <v>812</v>
      </c>
      <c r="C12" s="9" t="s">
        <v>770</v>
      </c>
      <c r="D12" s="9" t="s">
        <v>850</v>
      </c>
      <c r="E12" s="9" t="s">
        <v>851</v>
      </c>
      <c r="F12" s="9" t="s">
        <v>852</v>
      </c>
      <c r="G12" s="9" t="s">
        <v>816</v>
      </c>
    </row>
    <row r="13" spans="1:7" s="8" customFormat="1" x14ac:dyDescent="0.25">
      <c r="A13" s="9" t="s">
        <v>606</v>
      </c>
      <c r="B13" s="9" t="s">
        <v>853</v>
      </c>
      <c r="C13" s="9" t="s">
        <v>770</v>
      </c>
      <c r="D13" s="9" t="s">
        <v>854</v>
      </c>
      <c r="E13" s="9" t="s">
        <v>855</v>
      </c>
      <c r="F13" s="9" t="s">
        <v>856</v>
      </c>
      <c r="G13" s="9" t="s">
        <v>816</v>
      </c>
    </row>
    <row r="14" spans="1:7" s="8" customFormat="1" x14ac:dyDescent="0.25">
      <c r="A14" s="9" t="s">
        <v>581</v>
      </c>
      <c r="B14" s="9" t="s">
        <v>853</v>
      </c>
      <c r="C14" s="9" t="s">
        <v>770</v>
      </c>
      <c r="D14" s="9" t="s">
        <v>857</v>
      </c>
      <c r="E14" s="9" t="s">
        <v>858</v>
      </c>
      <c r="F14" s="9" t="s">
        <v>859</v>
      </c>
      <c r="G14" s="9" t="s">
        <v>816</v>
      </c>
    </row>
    <row r="15" spans="1:7" s="8" customFormat="1" x14ac:dyDescent="0.25">
      <c r="A15" s="9" t="s">
        <v>599</v>
      </c>
      <c r="B15" s="9" t="s">
        <v>853</v>
      </c>
      <c r="C15" s="9" t="s">
        <v>770</v>
      </c>
      <c r="D15" s="9" t="s">
        <v>860</v>
      </c>
      <c r="E15" s="9" t="s">
        <v>861</v>
      </c>
      <c r="F15" s="9" t="s">
        <v>862</v>
      </c>
      <c r="G15" s="9" t="s">
        <v>816</v>
      </c>
    </row>
    <row r="16" spans="1:7" s="8" customFormat="1" x14ac:dyDescent="0.25">
      <c r="A16" s="9" t="s">
        <v>592</v>
      </c>
      <c r="B16" s="9" t="s">
        <v>853</v>
      </c>
      <c r="C16" s="9" t="s">
        <v>770</v>
      </c>
      <c r="D16" s="9" t="s">
        <v>863</v>
      </c>
      <c r="E16" s="9" t="s">
        <v>864</v>
      </c>
      <c r="F16" s="9" t="s">
        <v>865</v>
      </c>
      <c r="G16" s="9" t="s">
        <v>816</v>
      </c>
    </row>
    <row r="17" spans="1:7" s="8" customFormat="1" x14ac:dyDescent="0.25">
      <c r="A17" s="9" t="s">
        <v>587</v>
      </c>
      <c r="B17" s="9" t="s">
        <v>853</v>
      </c>
      <c r="C17" s="9" t="s">
        <v>770</v>
      </c>
      <c r="D17" s="9" t="s">
        <v>866</v>
      </c>
      <c r="E17" s="9" t="s">
        <v>867</v>
      </c>
      <c r="F17" s="9" t="s">
        <v>868</v>
      </c>
      <c r="G17" s="9" t="s">
        <v>816</v>
      </c>
    </row>
    <row r="18" spans="1:7" s="8" customFormat="1" x14ac:dyDescent="0.25">
      <c r="A18" s="9" t="s">
        <v>666</v>
      </c>
      <c r="B18" s="9" t="s">
        <v>853</v>
      </c>
      <c r="C18" s="9" t="s">
        <v>770</v>
      </c>
      <c r="D18" s="9" t="s">
        <v>869</v>
      </c>
      <c r="E18" s="9" t="s">
        <v>870</v>
      </c>
      <c r="F18" s="9" t="s">
        <v>871</v>
      </c>
      <c r="G18" s="9" t="s">
        <v>816</v>
      </c>
    </row>
    <row r="19" spans="1:7" s="8" customFormat="1" x14ac:dyDescent="0.25">
      <c r="A19" s="9" t="s">
        <v>872</v>
      </c>
      <c r="B19" s="9" t="s">
        <v>853</v>
      </c>
      <c r="C19" s="9" t="s">
        <v>770</v>
      </c>
      <c r="D19" s="9" t="s">
        <v>873</v>
      </c>
      <c r="E19" s="9" t="s">
        <v>874</v>
      </c>
      <c r="F19" s="9" t="s">
        <v>875</v>
      </c>
      <c r="G19" s="9" t="s">
        <v>876</v>
      </c>
    </row>
    <row r="20" spans="1:7" s="8" customFormat="1" x14ac:dyDescent="0.25">
      <c r="A20" s="9" t="s">
        <v>877</v>
      </c>
      <c r="B20" s="9" t="s">
        <v>853</v>
      </c>
      <c r="C20" s="9" t="s">
        <v>770</v>
      </c>
      <c r="D20" s="9" t="s">
        <v>878</v>
      </c>
      <c r="E20" s="9" t="s">
        <v>879</v>
      </c>
      <c r="F20" s="9" t="s">
        <v>619</v>
      </c>
      <c r="G20" s="9" t="s">
        <v>816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Timeline &amp; Effort</vt:lpstr>
      <vt:lpstr>Sprint Backlog</vt:lpstr>
      <vt:lpstr>QA Backlog</vt:lpstr>
      <vt:lpstr>Test Cases</vt:lpstr>
      <vt:lpstr>Defects</vt:lpstr>
      <vt:lpstr>Change 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(retrospective delivery pack)</dc:creator>
  <dc:title/>
  <dc:subject/>
  <dc:description/>
  <cp:keywords/>
  <cp:category/>
  <cp:lastModifiedBy>Unknown</cp:lastModifiedBy>
  <dcterms:created xsi:type="dcterms:W3CDTF">2026-09-22T00:17:29Z</dcterms:created>
  <dcterms:modified xsi:type="dcterms:W3CDTF">2026-09-22T00:17:29Z</dcterms:modified>
</cp:coreProperties>
</file>